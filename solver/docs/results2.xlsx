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ffwg\solver\docs\"/>
    </mc:Choice>
  </mc:AlternateContent>
  <xr:revisionPtr revIDLastSave="0" documentId="8_{9E5F35CB-1D78-4071-85DF-D4D584E1267D}" xr6:coauthVersionLast="47" xr6:coauthVersionMax="47" xr10:uidLastSave="{00000000-0000-0000-0000-000000000000}"/>
  <bookViews>
    <workbookView xWindow="-120" yWindow="-120" windowWidth="29040" windowHeight="17520" xr2:uid="{5AEB44D8-E8D6-4898-B673-81DBE9FCA9CA}"/>
  </bookViews>
  <sheets>
    <sheet name="results" sheetId="1" r:id="rId1"/>
  </sheets>
  <definedNames>
    <definedName name="_xlnm._FilterDatabase" localSheetId="0" hidden="1">results!$A$1:$T$83</definedName>
  </definedNames>
  <calcPr calcId="0"/>
</workbook>
</file>

<file path=xl/calcChain.xml><?xml version="1.0" encoding="utf-8"?>
<calcChain xmlns="http://schemas.openxmlformats.org/spreadsheetml/2006/main">
  <c r="T19" i="1" l="1"/>
  <c r="T3" i="1"/>
  <c r="T4" i="1"/>
  <c r="T5" i="1"/>
  <c r="T25" i="1"/>
  <c r="T36" i="1"/>
  <c r="T6" i="1"/>
  <c r="T47" i="1"/>
  <c r="T68" i="1"/>
  <c r="T34" i="1"/>
  <c r="T43" i="1"/>
  <c r="T76" i="1"/>
  <c r="T64" i="1"/>
  <c r="T71" i="1"/>
  <c r="T62" i="1"/>
  <c r="T70" i="1"/>
  <c r="T7" i="1"/>
  <c r="T26" i="1"/>
  <c r="T42" i="1"/>
  <c r="T8" i="1"/>
  <c r="T38" i="1"/>
  <c r="T56" i="1"/>
  <c r="T9" i="1"/>
  <c r="T48" i="1"/>
  <c r="T51" i="1"/>
  <c r="T37" i="1"/>
  <c r="T61" i="1"/>
  <c r="T15" i="1"/>
  <c r="T10" i="1"/>
  <c r="T11" i="1"/>
  <c r="T57" i="1"/>
  <c r="T40" i="1"/>
  <c r="T45" i="1"/>
  <c r="T81" i="1"/>
  <c r="T27" i="1"/>
  <c r="T66" i="1"/>
  <c r="T41" i="1"/>
  <c r="T58" i="1"/>
  <c r="T55" i="1"/>
  <c r="T49" i="1"/>
  <c r="T30" i="1"/>
  <c r="T46" i="1"/>
  <c r="T60" i="1"/>
  <c r="T72" i="1"/>
  <c r="T23" i="1"/>
  <c r="T69" i="1"/>
  <c r="T54" i="1"/>
  <c r="T17" i="1"/>
  <c r="T63" i="1"/>
  <c r="T75" i="1"/>
  <c r="T80" i="1"/>
  <c r="T74" i="1"/>
  <c r="T32" i="1"/>
  <c r="T31" i="1"/>
  <c r="T22" i="1"/>
  <c r="T18" i="1"/>
  <c r="T44" i="1"/>
  <c r="T50" i="1"/>
  <c r="T67" i="1"/>
  <c r="T73" i="1"/>
  <c r="T29" i="1"/>
  <c r="T14" i="1"/>
  <c r="T12" i="1"/>
  <c r="T53" i="1"/>
  <c r="T33" i="1"/>
  <c r="T21" i="1"/>
  <c r="T79" i="1"/>
  <c r="T28" i="1"/>
  <c r="T13" i="1"/>
  <c r="T20" i="1"/>
  <c r="T16" i="1"/>
  <c r="T39" i="1"/>
  <c r="T35" i="1"/>
  <c r="T77" i="1"/>
  <c r="T24" i="1"/>
  <c r="T52" i="1"/>
  <c r="T59" i="1"/>
  <c r="T65" i="1"/>
  <c r="T78" i="1"/>
  <c r="T2" i="1"/>
</calcChain>
</file>

<file path=xl/sharedStrings.xml><?xml version="1.0" encoding="utf-8"?>
<sst xmlns="http://schemas.openxmlformats.org/spreadsheetml/2006/main" count="510" uniqueCount="146">
  <si>
    <t>name</t>
  </si>
  <si>
    <t>derivedFrom</t>
  </si>
  <si>
    <t>branch</t>
  </si>
  <si>
    <t>best</t>
  </si>
  <si>
    <t>bestAuthor</t>
  </si>
  <si>
    <t>bundled</t>
  </si>
  <si>
    <t>our</t>
  </si>
  <si>
    <t>width</t>
  </si>
  <si>
    <t>height</t>
  </si>
  <si>
    <t>items</t>
  </si>
  <si>
    <t>proven</t>
  </si>
  <si>
    <t>method</t>
  </si>
  <si>
    <t>source</t>
  </si>
  <si>
    <t>bound</t>
  </si>
  <si>
    <t>expanded</t>
  </si>
  <si>
    <t>stored</t>
  </si>
  <si>
    <t>seconds</t>
  </si>
  <si>
    <t>status</t>
  </si>
  <si>
    <t>recorded</t>
  </si>
  <si>
    <t>start</t>
  </si>
  <si>
    <t>Fish House</t>
  </si>
  <si>
    <t>Pavel Danihelka</t>
  </si>
  <si>
    <t>yes</t>
  </si>
  <si>
    <t>astar</t>
  </si>
  <si>
    <t>solved</t>
  </si>
  <si>
    <t>briefcase</t>
  </si>
  <si>
    <t>cellar</t>
  </si>
  <si>
    <t>no</t>
  </si>
  <si>
    <t>time limit reached</t>
  </si>
  <si>
    <t>library</t>
  </si>
  <si>
    <t>stairs</t>
  </si>
  <si>
    <t>stairs-simple</t>
  </si>
  <si>
    <t>broom</t>
  </si>
  <si>
    <t>Ivo Danihelka</t>
  </si>
  <si>
    <t>reef</t>
  </si>
  <si>
    <t>wc</t>
  </si>
  <si>
    <t>hanoi</t>
  </si>
  <si>
    <t>Branch of the New Generation</t>
  </si>
  <si>
    <t>David Glass</t>
  </si>
  <si>
    <t>rush</t>
  </si>
  <si>
    <t>Miroslav Olšák</t>
  </si>
  <si>
    <t>fdto</t>
  </si>
  <si>
    <t>Masaaki Irie</t>
  </si>
  <si>
    <t>rotate</t>
  </si>
  <si>
    <t>nowall</t>
  </si>
  <si>
    <t>Bertram Felgenhauer</t>
  </si>
  <si>
    <t>hole</t>
  </si>
  <si>
    <t>window</t>
  </si>
  <si>
    <t>improved by 2</t>
  </si>
  <si>
    <t>key</t>
  </si>
  <si>
    <t>keys</t>
  </si>
  <si>
    <t>Erik Hajduk</t>
  </si>
  <si>
    <t>linux</t>
  </si>
  <si>
    <t>Zmiter Nikitin</t>
  </si>
  <si>
    <t>improved by 4</t>
  </si>
  <si>
    <t>submarine</t>
  </si>
  <si>
    <t>Ship Wrecks</t>
  </si>
  <si>
    <t>party1</t>
  </si>
  <si>
    <t>Mark Byers</t>
  </si>
  <si>
    <t>elk</t>
  </si>
  <si>
    <t>wreck</t>
  </si>
  <si>
    <t>Hynek Vychodil</t>
  </si>
  <si>
    <t>viking1</t>
  </si>
  <si>
    <t>airplane</t>
  </si>
  <si>
    <t>Johannes Drescher</t>
  </si>
  <si>
    <t>bathyscaph</t>
  </si>
  <si>
    <t>tank</t>
  </si>
  <si>
    <t>Josef Peterka</t>
  </si>
  <si>
    <t>viking2</t>
  </si>
  <si>
    <t>Uoti Urpala</t>
  </si>
  <si>
    <t>party2</t>
  </si>
  <si>
    <t>Gabor Braun</t>
  </si>
  <si>
    <t>gods</t>
  </si>
  <si>
    <t>Félix Marcotte-Gagnon</t>
  </si>
  <si>
    <t>cabin1</t>
  </si>
  <si>
    <t>Silver's Ship</t>
  </si>
  <si>
    <t>snowman</t>
  </si>
  <si>
    <t>cannons</t>
  </si>
  <si>
    <t>kitchen</t>
  </si>
  <si>
    <t>cabin2</t>
  </si>
  <si>
    <t>captain</t>
  </si>
  <si>
    <t>map</t>
  </si>
  <si>
    <t>improved by 30</t>
  </si>
  <si>
    <t>elevator1</t>
  </si>
  <si>
    <t>City In the Deep</t>
  </si>
  <si>
    <t>city</t>
  </si>
  <si>
    <t>ufo</t>
  </si>
  <si>
    <t>columns</t>
  </si>
  <si>
    <t>pavement</t>
  </si>
  <si>
    <t>pyramid</t>
  </si>
  <si>
    <t>Johan Rönnblom</t>
  </si>
  <si>
    <t>music</t>
  </si>
  <si>
    <t>crabshow</t>
  </si>
  <si>
    <t>elevator2</t>
  </si>
  <si>
    <t>atlantis</t>
  </si>
  <si>
    <t>reactor</t>
  </si>
  <si>
    <t>UFO</t>
  </si>
  <si>
    <t>magnet</t>
  </si>
  <si>
    <t>engine</t>
  </si>
  <si>
    <t>steel</t>
  </si>
  <si>
    <t>corridor</t>
  </si>
  <si>
    <t>Amic Frouvelle</t>
  </si>
  <si>
    <t>experiments</t>
  </si>
  <si>
    <t>propulsion</t>
  </si>
  <si>
    <t>electromagnet</t>
  </si>
  <si>
    <t>UFO Exit</t>
  </si>
  <si>
    <t>corals</t>
  </si>
  <si>
    <t>Coral reef</t>
  </si>
  <si>
    <t>labyrinth</t>
  </si>
  <si>
    <t>imprisoned</t>
  </si>
  <si>
    <t>society</t>
  </si>
  <si>
    <t>Radovan Málek</t>
  </si>
  <si>
    <t>creatures</t>
  </si>
  <si>
    <t>cancan</t>
  </si>
  <si>
    <t>pearls</t>
  </si>
  <si>
    <t>turtle</t>
  </si>
  <si>
    <t>aztec</t>
  </si>
  <si>
    <t>Treasure Cave</t>
  </si>
  <si>
    <t>gems</t>
  </si>
  <si>
    <t>gems-simple</t>
  </si>
  <si>
    <t>chest</t>
  </si>
  <si>
    <t>alibaba</t>
  </si>
  <si>
    <t>cave</t>
  </si>
  <si>
    <t>grail</t>
  </si>
  <si>
    <t>computer</t>
  </si>
  <si>
    <t>Dump</t>
  </si>
  <si>
    <t>noground</t>
  </si>
  <si>
    <t>Heiko Luettges</t>
  </si>
  <si>
    <t>bathroom</t>
  </si>
  <si>
    <t>duckie</t>
  </si>
  <si>
    <t>Ronny Standtke</t>
  </si>
  <si>
    <t>puzzle</t>
  </si>
  <si>
    <t>Fern Lopesbr</t>
  </si>
  <si>
    <t>dump</t>
  </si>
  <si>
    <t>barrel</t>
  </si>
  <si>
    <t>improved by 6</t>
  </si>
  <si>
    <t>tetris</t>
  </si>
  <si>
    <t>Secret Computer</t>
  </si>
  <si>
    <t>emulator</t>
  </si>
  <si>
    <t>warcraft</t>
  </si>
  <si>
    <t>windoze</t>
  </si>
  <si>
    <t>hardware</t>
  </si>
  <si>
    <t>floppy</t>
  </si>
  <si>
    <t>Aleš Zimmermann</t>
  </si>
  <si>
    <t>ending</t>
  </si>
  <si>
    <t>reach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</si>
</sst>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b/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18" fillId="0" borderId="0" xfId="0" applyFont="1"/>
    <xf numFmtId="9" fontId="0" fillId="0" borderId="0" xfId="1" applyFont="1"/>
  </cellXfs>
  <cellStyles count="43">
    <cellStyle name="20 % – Zvýraznění 1" xfId="20" builtinId="30" customBuiltin="1"/>
    <cellStyle name="20 % – Zvýraznění 2" xfId="24" builtinId="34" customBuiltin="1"/>
    <cellStyle name="20 % – Zvýraznění 3" xfId="28" builtinId="38" customBuiltin="1"/>
    <cellStyle name="20 % – Zvýraznění 4" xfId="32" builtinId="42" customBuiltin="1"/>
    <cellStyle name="20 % – Zvýraznění 5" xfId="36" builtinId="46" customBuiltin="1"/>
    <cellStyle name="20 % – Zvýraznění 6" xfId="40" builtinId="50" customBuiltin="1"/>
    <cellStyle name="40 % – Zvýraznění 1" xfId="21" builtinId="31" customBuiltin="1"/>
    <cellStyle name="40 % – Zvýraznění 2" xfId="25" builtinId="35" customBuiltin="1"/>
    <cellStyle name="40 % – Zvýraznění 3" xfId="29" builtinId="39" customBuiltin="1"/>
    <cellStyle name="40 % – Zvýraznění 4" xfId="33" builtinId="43" customBuiltin="1"/>
    <cellStyle name="40 % – Zvýraznění 5" xfId="37" builtinId="47" customBuiltin="1"/>
    <cellStyle name="40 % – Zvýraznění 6" xfId="41" builtinId="51" customBuiltin="1"/>
    <cellStyle name="60 % – Zvýraznění 1" xfId="22" builtinId="32" customBuiltin="1"/>
    <cellStyle name="60 % – Zvýraznění 2" xfId="26" builtinId="36" customBuiltin="1"/>
    <cellStyle name="60 % – Zvýraznění 3" xfId="30" builtinId="40" customBuiltin="1"/>
    <cellStyle name="60 % – Zvýraznění 4" xfId="34" builtinId="44" customBuiltin="1"/>
    <cellStyle name="60 % – Zvýraznění 5" xfId="38" builtinId="48" customBuiltin="1"/>
    <cellStyle name="60 % – Zvýraznění 6" xfId="42" builtinId="52" customBuiltin="1"/>
    <cellStyle name="Celkem" xfId="18" builtinId="25" customBuiltin="1"/>
    <cellStyle name="Kontrolní buňka" xfId="14" builtinId="23" customBuiltin="1"/>
    <cellStyle name="Nadpis 1" xfId="3" builtinId="16" customBuiltin="1"/>
    <cellStyle name="Nadpis 2" xfId="4" builtinId="17" customBuiltin="1"/>
    <cellStyle name="Nadpis 3" xfId="5" builtinId="18" customBuiltin="1"/>
    <cellStyle name="Nadpis 4" xfId="6" builtinId="19" customBuiltin="1"/>
    <cellStyle name="Název" xfId="2" builtinId="15" customBuiltin="1"/>
    <cellStyle name="Neutrální" xfId="9" builtinId="28" customBuiltin="1"/>
    <cellStyle name="Normální" xfId="0" builtinId="0"/>
    <cellStyle name="Poznámka" xfId="16" builtinId="10" customBuiltin="1"/>
    <cellStyle name="Procenta" xfId="1" builtinId="5"/>
    <cellStyle name="Propojená buňka" xfId="13" builtinId="24" customBuiltin="1"/>
    <cellStyle name="Správně" xfId="7" builtinId="26" customBuiltin="1"/>
    <cellStyle name="Špatně" xfId="8" builtinId="27" customBuiltin="1"/>
    <cellStyle name="Text upozornění" xfId="15" builtinId="11" customBuiltin="1"/>
    <cellStyle name="Vstup" xfId="10" builtinId="20" customBuiltin="1"/>
    <cellStyle name="Výpočet" xfId="12" builtinId="22" customBuiltin="1"/>
    <cellStyle name="Výstup" xfId="11" builtinId="21" customBuiltin="1"/>
    <cellStyle name="Vysvětlující text" xfId="17" builtinId="53" customBuiltin="1"/>
    <cellStyle name="Zvýraznění 1" xfId="19" builtinId="29" customBuiltin="1"/>
    <cellStyle name="Zvýraznění 2" xfId="23" builtinId="33" customBuiltin="1"/>
    <cellStyle name="Zvýraznění 3" xfId="27" builtinId="37" customBuiltin="1"/>
    <cellStyle name="Zvýraznění 4" xfId="31" builtinId="41" customBuiltin="1"/>
    <cellStyle name="Zvýraznění 5" xfId="35" builtinId="45" customBuiltin="1"/>
    <cellStyle name="Zvýraznění 6" xfId="39" builtinId="49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3C95-2EB9-4E25-9295-6B67276EEA6B}">
  <dimension ref="A1:T84"/>
  <sheetViews>
    <sheetView tabSelected="1" workbookViewId="0">
      <selection activeCell="B15" sqref="B15:N15"/>
    </sheetView>
  </sheetViews>
  <sheetFormatPr defaultRowHeight="15" x14ac:dyDescent="0.25"/>
  <cols>
    <col min="2" max="2" width="12.5703125" customWidth="1"/>
    <col min="3" max="3" width="10.5703125" customWidth="1"/>
    <col min="4" max="4" width="9.140625" style="2"/>
    <col min="5" max="5" width="16.85546875" customWidth="1"/>
    <col min="19" max="19" width="10.140625" bestFit="1" customWidth="1"/>
  </cols>
  <sheetData>
    <row r="1" spans="1:20" x14ac:dyDescent="0.25">
      <c r="A1" t="s">
        <v>0</v>
      </c>
      <c r="B1" t="s">
        <v>1</v>
      </c>
      <c r="C1" t="s">
        <v>2</v>
      </c>
      <c r="D1" s="2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145</v>
      </c>
    </row>
    <row r="2" spans="1:20" x14ac:dyDescent="0.25">
      <c r="A2" t="s">
        <v>19</v>
      </c>
      <c r="C2" t="s">
        <v>20</v>
      </c>
      <c r="D2" s="2">
        <v>54</v>
      </c>
      <c r="E2" t="s">
        <v>21</v>
      </c>
      <c r="F2">
        <v>54</v>
      </c>
      <c r="G2">
        <v>54</v>
      </c>
      <c r="H2">
        <v>29</v>
      </c>
      <c r="I2">
        <v>27</v>
      </c>
      <c r="J2">
        <v>5</v>
      </c>
      <c r="K2" t="s">
        <v>22</v>
      </c>
      <c r="L2" t="s">
        <v>23</v>
      </c>
      <c r="N2">
        <v>54</v>
      </c>
      <c r="O2">
        <v>217622</v>
      </c>
      <c r="P2">
        <v>302388</v>
      </c>
      <c r="Q2">
        <v>1.4</v>
      </c>
      <c r="R2" t="s">
        <v>24</v>
      </c>
      <c r="S2" s="1">
        <v>46248</v>
      </c>
      <c r="T2" s="3">
        <f>N2/F2</f>
        <v>1</v>
      </c>
    </row>
    <row r="3" spans="1:20" x14ac:dyDescent="0.25">
      <c r="A3" t="s">
        <v>29</v>
      </c>
      <c r="C3" t="s">
        <v>20</v>
      </c>
      <c r="D3" s="2">
        <v>111</v>
      </c>
      <c r="E3" t="s">
        <v>21</v>
      </c>
      <c r="F3">
        <v>111</v>
      </c>
      <c r="G3">
        <v>111</v>
      </c>
      <c r="H3">
        <v>21</v>
      </c>
      <c r="I3">
        <v>37</v>
      </c>
      <c r="J3">
        <v>18</v>
      </c>
      <c r="K3" t="s">
        <v>22</v>
      </c>
      <c r="L3" t="s">
        <v>23</v>
      </c>
      <c r="N3">
        <v>111</v>
      </c>
      <c r="O3">
        <v>8073221</v>
      </c>
      <c r="P3">
        <v>8800275</v>
      </c>
      <c r="Q3">
        <v>55.4</v>
      </c>
      <c r="R3" t="s">
        <v>24</v>
      </c>
      <c r="S3" s="1">
        <v>46248</v>
      </c>
      <c r="T3" s="3">
        <f>N3/F3</f>
        <v>1</v>
      </c>
    </row>
    <row r="4" spans="1:20" x14ac:dyDescent="0.25">
      <c r="A4" t="s">
        <v>30</v>
      </c>
      <c r="C4" t="s">
        <v>20</v>
      </c>
      <c r="D4" s="2">
        <v>163</v>
      </c>
      <c r="E4" t="s">
        <v>21</v>
      </c>
      <c r="F4">
        <v>163</v>
      </c>
      <c r="G4">
        <v>163</v>
      </c>
      <c r="H4">
        <v>40</v>
      </c>
      <c r="I4">
        <v>30</v>
      </c>
      <c r="J4">
        <v>6</v>
      </c>
      <c r="K4" t="s">
        <v>22</v>
      </c>
      <c r="L4" t="s">
        <v>23</v>
      </c>
      <c r="N4">
        <v>163</v>
      </c>
      <c r="O4">
        <v>22581029</v>
      </c>
      <c r="P4">
        <v>23552378</v>
      </c>
      <c r="Q4">
        <v>105.2</v>
      </c>
      <c r="R4" t="s">
        <v>24</v>
      </c>
      <c r="S4" s="1">
        <v>46249</v>
      </c>
      <c r="T4" s="3">
        <f>N4/F4</f>
        <v>1</v>
      </c>
    </row>
    <row r="5" spans="1:20" x14ac:dyDescent="0.25">
      <c r="A5" t="s">
        <v>31</v>
      </c>
      <c r="B5" t="s">
        <v>30</v>
      </c>
      <c r="C5" t="s">
        <v>20</v>
      </c>
      <c r="D5" s="2">
        <v>163</v>
      </c>
      <c r="E5" t="s">
        <v>21</v>
      </c>
      <c r="F5">
        <v>163</v>
      </c>
      <c r="G5">
        <v>163</v>
      </c>
      <c r="H5">
        <v>40</v>
      </c>
      <c r="I5">
        <v>30</v>
      </c>
      <c r="J5">
        <v>2</v>
      </c>
      <c r="K5" t="s">
        <v>22</v>
      </c>
      <c r="L5" t="s">
        <v>23</v>
      </c>
      <c r="N5">
        <v>163</v>
      </c>
      <c r="O5">
        <v>10570581</v>
      </c>
      <c r="P5">
        <v>10847465</v>
      </c>
      <c r="Q5">
        <v>73.599999999999994</v>
      </c>
      <c r="R5" t="s">
        <v>24</v>
      </c>
      <c r="S5" s="1">
        <v>46249</v>
      </c>
      <c r="T5" s="3">
        <f>N5/F5</f>
        <v>1</v>
      </c>
    </row>
    <row r="6" spans="1:20" x14ac:dyDescent="0.25">
      <c r="A6" t="s">
        <v>35</v>
      </c>
      <c r="C6" t="s">
        <v>20</v>
      </c>
      <c r="D6" s="2">
        <v>100</v>
      </c>
      <c r="E6" t="s">
        <v>21</v>
      </c>
      <c r="F6">
        <v>100</v>
      </c>
      <c r="G6">
        <v>100</v>
      </c>
      <c r="H6">
        <v>23</v>
      </c>
      <c r="I6">
        <v>22</v>
      </c>
      <c r="J6">
        <v>4</v>
      </c>
      <c r="K6" t="s">
        <v>22</v>
      </c>
      <c r="L6" t="s">
        <v>23</v>
      </c>
      <c r="N6">
        <v>100</v>
      </c>
      <c r="O6">
        <v>197164</v>
      </c>
      <c r="P6">
        <v>198820</v>
      </c>
      <c r="Q6">
        <v>1.2</v>
      </c>
      <c r="R6" t="s">
        <v>24</v>
      </c>
      <c r="S6" s="1">
        <v>46248</v>
      </c>
      <c r="T6" s="3">
        <f>N6/F6</f>
        <v>1</v>
      </c>
    </row>
    <row r="7" spans="1:20" x14ac:dyDescent="0.25">
      <c r="A7" t="s">
        <v>55</v>
      </c>
      <c r="C7" t="s">
        <v>56</v>
      </c>
      <c r="D7" s="2">
        <v>83</v>
      </c>
      <c r="E7" t="s">
        <v>21</v>
      </c>
      <c r="F7">
        <v>83</v>
      </c>
      <c r="G7">
        <v>83</v>
      </c>
      <c r="H7">
        <v>37</v>
      </c>
      <c r="I7">
        <v>15</v>
      </c>
      <c r="J7">
        <v>6</v>
      </c>
      <c r="K7" t="s">
        <v>22</v>
      </c>
      <c r="L7" t="s">
        <v>23</v>
      </c>
      <c r="N7">
        <v>83</v>
      </c>
      <c r="O7">
        <v>162860</v>
      </c>
      <c r="P7">
        <v>174487</v>
      </c>
      <c r="Q7">
        <v>3.8</v>
      </c>
      <c r="R7" t="s">
        <v>24</v>
      </c>
      <c r="S7" s="1">
        <v>46249</v>
      </c>
      <c r="T7" s="3">
        <f>N7/F7</f>
        <v>1</v>
      </c>
    </row>
    <row r="8" spans="1:20" x14ac:dyDescent="0.25">
      <c r="A8" t="s">
        <v>60</v>
      </c>
      <c r="C8" t="s">
        <v>56</v>
      </c>
      <c r="D8" s="2">
        <v>91</v>
      </c>
      <c r="E8" t="s">
        <v>61</v>
      </c>
      <c r="F8">
        <v>91</v>
      </c>
      <c r="G8">
        <v>91</v>
      </c>
      <c r="H8">
        <v>28</v>
      </c>
      <c r="I8">
        <v>20</v>
      </c>
      <c r="J8">
        <v>7</v>
      </c>
      <c r="K8" t="s">
        <v>22</v>
      </c>
      <c r="L8" t="s">
        <v>23</v>
      </c>
      <c r="N8">
        <v>91</v>
      </c>
      <c r="O8">
        <v>756029</v>
      </c>
      <c r="P8">
        <v>884792</v>
      </c>
      <c r="Q8">
        <v>20.5</v>
      </c>
      <c r="R8" t="s">
        <v>24</v>
      </c>
      <c r="S8" s="1">
        <v>46249</v>
      </c>
      <c r="T8" s="3">
        <f>N8/F8</f>
        <v>1</v>
      </c>
    </row>
    <row r="9" spans="1:20" x14ac:dyDescent="0.25">
      <c r="A9" t="s">
        <v>65</v>
      </c>
      <c r="C9" t="s">
        <v>56</v>
      </c>
      <c r="D9" s="2">
        <v>82</v>
      </c>
      <c r="E9" t="s">
        <v>21</v>
      </c>
      <c r="F9">
        <v>82</v>
      </c>
      <c r="H9">
        <v>46</v>
      </c>
      <c r="I9">
        <v>20</v>
      </c>
      <c r="J9">
        <v>10</v>
      </c>
      <c r="K9" t="s">
        <v>27</v>
      </c>
      <c r="L9" t="s">
        <v>23</v>
      </c>
      <c r="N9">
        <v>82</v>
      </c>
      <c r="O9">
        <v>23387109</v>
      </c>
      <c r="P9">
        <v>33554809</v>
      </c>
      <c r="Q9">
        <v>904.7</v>
      </c>
      <c r="R9" t="s">
        <v>28</v>
      </c>
      <c r="S9" s="1">
        <v>46249</v>
      </c>
      <c r="T9" s="3">
        <f>N9/F9</f>
        <v>1</v>
      </c>
    </row>
    <row r="10" spans="1:20" x14ac:dyDescent="0.25">
      <c r="A10" t="s">
        <v>76</v>
      </c>
      <c r="C10" t="s">
        <v>75</v>
      </c>
      <c r="D10" s="2">
        <v>66</v>
      </c>
      <c r="E10" t="s">
        <v>21</v>
      </c>
      <c r="F10">
        <v>66</v>
      </c>
      <c r="G10">
        <v>66</v>
      </c>
      <c r="H10">
        <v>29</v>
      </c>
      <c r="I10">
        <v>22</v>
      </c>
      <c r="J10">
        <v>4</v>
      </c>
      <c r="K10" t="s">
        <v>22</v>
      </c>
      <c r="L10" t="s">
        <v>23</v>
      </c>
      <c r="N10">
        <v>66</v>
      </c>
      <c r="O10">
        <v>27043049</v>
      </c>
      <c r="P10">
        <v>29761441</v>
      </c>
      <c r="Q10">
        <v>171.6</v>
      </c>
      <c r="R10" t="s">
        <v>24</v>
      </c>
      <c r="S10" s="1">
        <v>46249</v>
      </c>
      <c r="T10" s="3">
        <f>N10/F10</f>
        <v>1</v>
      </c>
    </row>
    <row r="11" spans="1:20" x14ac:dyDescent="0.25">
      <c r="A11" t="s">
        <v>77</v>
      </c>
      <c r="C11" t="s">
        <v>75</v>
      </c>
      <c r="D11" s="2">
        <v>39</v>
      </c>
      <c r="E11" t="s">
        <v>21</v>
      </c>
      <c r="F11">
        <v>39</v>
      </c>
      <c r="G11">
        <v>39</v>
      </c>
      <c r="H11">
        <v>30</v>
      </c>
      <c r="I11">
        <v>27</v>
      </c>
      <c r="J11">
        <v>16</v>
      </c>
      <c r="K11" t="s">
        <v>22</v>
      </c>
      <c r="L11" t="s">
        <v>23</v>
      </c>
      <c r="N11">
        <v>39</v>
      </c>
      <c r="O11">
        <v>215117</v>
      </c>
      <c r="P11">
        <v>353262</v>
      </c>
      <c r="Q11">
        <v>2.1</v>
      </c>
      <c r="R11" t="s">
        <v>24</v>
      </c>
      <c r="S11" s="1">
        <v>46248</v>
      </c>
      <c r="T11" s="3">
        <f>N11/F11</f>
        <v>1</v>
      </c>
    </row>
    <row r="12" spans="1:20" x14ac:dyDescent="0.25">
      <c r="A12" t="s">
        <v>119</v>
      </c>
      <c r="B12" t="s">
        <v>118</v>
      </c>
      <c r="C12" t="s">
        <v>117</v>
      </c>
      <c r="D12" s="2">
        <v>59</v>
      </c>
      <c r="E12" t="s">
        <v>58</v>
      </c>
      <c r="F12">
        <v>59</v>
      </c>
      <c r="G12">
        <v>59</v>
      </c>
      <c r="H12">
        <v>29</v>
      </c>
      <c r="I12">
        <v>18</v>
      </c>
      <c r="J12">
        <v>88</v>
      </c>
      <c r="K12" t="s">
        <v>22</v>
      </c>
      <c r="L12" t="s">
        <v>23</v>
      </c>
      <c r="N12">
        <v>59</v>
      </c>
      <c r="O12">
        <v>996968</v>
      </c>
      <c r="P12">
        <v>1742549</v>
      </c>
      <c r="Q12">
        <v>71.599999999999994</v>
      </c>
      <c r="R12" t="s">
        <v>24</v>
      </c>
      <c r="S12" s="1">
        <v>46249</v>
      </c>
      <c r="T12" s="3">
        <f>N12/F12</f>
        <v>1</v>
      </c>
    </row>
    <row r="13" spans="1:20" x14ac:dyDescent="0.25">
      <c r="A13" t="s">
        <v>126</v>
      </c>
      <c r="C13" t="s">
        <v>125</v>
      </c>
      <c r="D13" s="2">
        <v>44</v>
      </c>
      <c r="E13" t="s">
        <v>127</v>
      </c>
      <c r="F13">
        <v>44</v>
      </c>
      <c r="G13">
        <v>44</v>
      </c>
      <c r="H13">
        <v>19</v>
      </c>
      <c r="I13">
        <v>19</v>
      </c>
      <c r="J13">
        <v>5</v>
      </c>
      <c r="K13" t="s">
        <v>22</v>
      </c>
      <c r="L13" t="s">
        <v>23</v>
      </c>
      <c r="N13">
        <v>44</v>
      </c>
      <c r="O13">
        <v>94036</v>
      </c>
      <c r="P13">
        <v>104106</v>
      </c>
      <c r="Q13">
        <v>4.5</v>
      </c>
      <c r="R13" t="s">
        <v>24</v>
      </c>
      <c r="S13" s="1">
        <v>46249</v>
      </c>
      <c r="T13" s="3">
        <f>N13/F13</f>
        <v>1</v>
      </c>
    </row>
    <row r="14" spans="1:20" x14ac:dyDescent="0.25">
      <c r="A14" t="s">
        <v>118</v>
      </c>
      <c r="C14" t="s">
        <v>117</v>
      </c>
      <c r="D14" s="2">
        <v>59</v>
      </c>
      <c r="E14" t="s">
        <v>58</v>
      </c>
      <c r="F14">
        <v>59</v>
      </c>
      <c r="G14">
        <v>59</v>
      </c>
      <c r="H14">
        <v>29</v>
      </c>
      <c r="I14">
        <v>18</v>
      </c>
      <c r="J14">
        <v>109</v>
      </c>
      <c r="K14" t="s">
        <v>27</v>
      </c>
      <c r="L14" t="s">
        <v>23</v>
      </c>
      <c r="M14" t="s">
        <v>119</v>
      </c>
      <c r="N14">
        <v>57</v>
      </c>
      <c r="O14">
        <v>0</v>
      </c>
      <c r="P14">
        <v>0</v>
      </c>
      <c r="Q14">
        <v>54.3</v>
      </c>
      <c r="R14" t="s">
        <v>24</v>
      </c>
      <c r="S14" s="1">
        <v>46249</v>
      </c>
      <c r="T14" s="3">
        <f>N14/F14</f>
        <v>0.96610169491525422</v>
      </c>
    </row>
    <row r="15" spans="1:20" x14ac:dyDescent="0.25">
      <c r="A15" t="s">
        <v>74</v>
      </c>
      <c r="C15" t="s">
        <v>75</v>
      </c>
      <c r="D15" s="2">
        <v>168</v>
      </c>
      <c r="E15" t="s">
        <v>21</v>
      </c>
      <c r="F15">
        <v>168</v>
      </c>
      <c r="H15">
        <v>24</v>
      </c>
      <c r="I15">
        <v>22</v>
      </c>
      <c r="J15">
        <v>7</v>
      </c>
      <c r="K15" t="s">
        <v>27</v>
      </c>
      <c r="L15" t="s">
        <v>23</v>
      </c>
      <c r="N15">
        <v>162</v>
      </c>
      <c r="O15">
        <v>28473243</v>
      </c>
      <c r="P15">
        <v>33555044</v>
      </c>
      <c r="Q15">
        <v>901.5</v>
      </c>
      <c r="R15" t="s">
        <v>28</v>
      </c>
      <c r="S15" s="1">
        <v>46249</v>
      </c>
      <c r="T15" s="3">
        <f>N15/F15</f>
        <v>0.9642857142857143</v>
      </c>
    </row>
    <row r="16" spans="1:20" x14ac:dyDescent="0.25">
      <c r="A16" t="s">
        <v>129</v>
      </c>
      <c r="C16" t="s">
        <v>125</v>
      </c>
      <c r="D16" s="2">
        <v>98</v>
      </c>
      <c r="E16" t="s">
        <v>130</v>
      </c>
      <c r="F16">
        <v>98</v>
      </c>
      <c r="H16">
        <v>27</v>
      </c>
      <c r="I16">
        <v>21</v>
      </c>
      <c r="J16">
        <v>10</v>
      </c>
      <c r="K16" t="s">
        <v>27</v>
      </c>
      <c r="L16" t="s">
        <v>23</v>
      </c>
      <c r="N16">
        <v>85</v>
      </c>
      <c r="O16">
        <v>25795524</v>
      </c>
      <c r="P16">
        <v>33554913</v>
      </c>
      <c r="Q16">
        <v>902.2</v>
      </c>
      <c r="R16" t="s">
        <v>28</v>
      </c>
      <c r="S16" s="1">
        <v>46249</v>
      </c>
      <c r="T16" s="3">
        <f>N16/F16</f>
        <v>0.86734693877551017</v>
      </c>
    </row>
    <row r="17" spans="1:20" x14ac:dyDescent="0.25">
      <c r="A17" t="s">
        <v>99</v>
      </c>
      <c r="C17" t="s">
        <v>96</v>
      </c>
      <c r="D17" s="2">
        <v>185</v>
      </c>
      <c r="E17" t="s">
        <v>67</v>
      </c>
      <c r="F17">
        <v>185</v>
      </c>
      <c r="H17">
        <v>42</v>
      </c>
      <c r="I17">
        <v>25</v>
      </c>
      <c r="J17">
        <v>23</v>
      </c>
      <c r="K17" t="s">
        <v>27</v>
      </c>
      <c r="L17" t="s">
        <v>23</v>
      </c>
      <c r="N17">
        <v>153</v>
      </c>
      <c r="O17">
        <v>12431467</v>
      </c>
      <c r="P17">
        <v>16777969</v>
      </c>
      <c r="Q17">
        <v>901.7</v>
      </c>
      <c r="R17" t="s">
        <v>28</v>
      </c>
      <c r="S17" s="1">
        <v>46249</v>
      </c>
      <c r="T17" s="3">
        <f>N17/F17</f>
        <v>0.82702702702702702</v>
      </c>
    </row>
    <row r="18" spans="1:20" x14ac:dyDescent="0.25">
      <c r="A18" t="s">
        <v>110</v>
      </c>
      <c r="C18" t="s">
        <v>107</v>
      </c>
      <c r="D18" s="2">
        <v>110</v>
      </c>
      <c r="E18" t="s">
        <v>111</v>
      </c>
      <c r="F18">
        <v>110</v>
      </c>
      <c r="H18">
        <v>24</v>
      </c>
      <c r="I18">
        <v>14</v>
      </c>
      <c r="J18">
        <v>10</v>
      </c>
      <c r="K18" t="s">
        <v>27</v>
      </c>
      <c r="L18" t="s">
        <v>23</v>
      </c>
      <c r="N18">
        <v>86</v>
      </c>
      <c r="O18">
        <v>24803942</v>
      </c>
      <c r="P18">
        <v>33554546</v>
      </c>
      <c r="Q18">
        <v>901.3</v>
      </c>
      <c r="R18" t="s">
        <v>28</v>
      </c>
      <c r="S18" s="1">
        <v>46249</v>
      </c>
      <c r="T18" s="3">
        <f>N18/F18</f>
        <v>0.78181818181818186</v>
      </c>
    </row>
    <row r="19" spans="1:20" x14ac:dyDescent="0.25">
      <c r="A19" t="s">
        <v>26</v>
      </c>
      <c r="C19" t="s">
        <v>20</v>
      </c>
      <c r="D19" s="2">
        <v>375</v>
      </c>
      <c r="E19" t="s">
        <v>21</v>
      </c>
      <c r="F19">
        <v>375</v>
      </c>
      <c r="H19">
        <v>40</v>
      </c>
      <c r="I19">
        <v>35</v>
      </c>
      <c r="J19">
        <v>14</v>
      </c>
      <c r="K19" t="s">
        <v>27</v>
      </c>
      <c r="L19" t="s">
        <v>23</v>
      </c>
      <c r="N19">
        <v>281</v>
      </c>
      <c r="O19">
        <v>14483103</v>
      </c>
      <c r="P19">
        <v>16779686</v>
      </c>
      <c r="Q19">
        <v>900.2</v>
      </c>
      <c r="R19" t="s">
        <v>28</v>
      </c>
      <c r="S19" s="1">
        <v>46249</v>
      </c>
      <c r="T19" s="3">
        <f>N19/F19</f>
        <v>0.7493333333333333</v>
      </c>
    </row>
    <row r="20" spans="1:20" x14ac:dyDescent="0.25">
      <c r="A20" t="s">
        <v>128</v>
      </c>
      <c r="C20" t="s">
        <v>125</v>
      </c>
      <c r="D20" s="2">
        <v>90</v>
      </c>
      <c r="E20" t="s">
        <v>67</v>
      </c>
      <c r="F20">
        <v>90</v>
      </c>
      <c r="H20">
        <v>31</v>
      </c>
      <c r="I20">
        <v>32</v>
      </c>
      <c r="J20">
        <v>26</v>
      </c>
      <c r="K20" t="s">
        <v>27</v>
      </c>
      <c r="L20" t="s">
        <v>23</v>
      </c>
      <c r="N20">
        <v>64</v>
      </c>
      <c r="O20">
        <v>1283257</v>
      </c>
      <c r="P20">
        <v>2756096</v>
      </c>
      <c r="Q20">
        <v>90</v>
      </c>
      <c r="R20" t="s">
        <v>28</v>
      </c>
      <c r="S20" s="1">
        <v>46249</v>
      </c>
      <c r="T20" s="3">
        <f>N20/F20</f>
        <v>0.71111111111111114</v>
      </c>
    </row>
    <row r="21" spans="1:20" x14ac:dyDescent="0.25">
      <c r="A21" t="s">
        <v>122</v>
      </c>
      <c r="C21" t="s">
        <v>117</v>
      </c>
      <c r="D21" s="2">
        <v>186</v>
      </c>
      <c r="E21" t="s">
        <v>67</v>
      </c>
      <c r="F21">
        <v>186</v>
      </c>
      <c r="H21">
        <v>32</v>
      </c>
      <c r="I21">
        <v>28</v>
      </c>
      <c r="J21">
        <v>10</v>
      </c>
      <c r="K21" t="s">
        <v>27</v>
      </c>
      <c r="L21" t="s">
        <v>23</v>
      </c>
      <c r="N21">
        <v>110</v>
      </c>
      <c r="O21">
        <v>2553325</v>
      </c>
      <c r="P21">
        <v>3549226</v>
      </c>
      <c r="Q21">
        <v>90</v>
      </c>
      <c r="R21" t="s">
        <v>28</v>
      </c>
      <c r="S21" s="1">
        <v>46249</v>
      </c>
      <c r="T21" s="3">
        <f>N21/F21</f>
        <v>0.59139784946236562</v>
      </c>
    </row>
    <row r="22" spans="1:20" x14ac:dyDescent="0.25">
      <c r="A22" t="s">
        <v>109</v>
      </c>
      <c r="C22" t="s">
        <v>107</v>
      </c>
      <c r="D22" s="2">
        <v>275</v>
      </c>
      <c r="E22" t="s">
        <v>67</v>
      </c>
      <c r="F22">
        <v>275</v>
      </c>
      <c r="H22">
        <v>47</v>
      </c>
      <c r="I22">
        <v>39</v>
      </c>
      <c r="J22">
        <v>22</v>
      </c>
      <c r="K22" t="s">
        <v>27</v>
      </c>
      <c r="L22" t="s">
        <v>23</v>
      </c>
      <c r="N22">
        <v>153</v>
      </c>
      <c r="O22">
        <v>5091537</v>
      </c>
      <c r="P22">
        <v>8481700</v>
      </c>
      <c r="Q22">
        <v>90</v>
      </c>
      <c r="R22" t="s">
        <v>28</v>
      </c>
      <c r="S22" s="1">
        <v>46248</v>
      </c>
      <c r="T22" s="3">
        <f>N22/F22</f>
        <v>0.55636363636363639</v>
      </c>
    </row>
    <row r="23" spans="1:20" x14ac:dyDescent="0.25">
      <c r="A23" t="s">
        <v>95</v>
      </c>
      <c r="C23" t="s">
        <v>96</v>
      </c>
      <c r="D23" s="2">
        <v>163</v>
      </c>
      <c r="E23" t="s">
        <v>21</v>
      </c>
      <c r="F23">
        <v>163</v>
      </c>
      <c r="H23">
        <v>44</v>
      </c>
      <c r="I23">
        <v>30</v>
      </c>
      <c r="J23">
        <v>16</v>
      </c>
      <c r="K23" t="s">
        <v>27</v>
      </c>
      <c r="L23" t="s">
        <v>23</v>
      </c>
      <c r="N23">
        <v>87</v>
      </c>
      <c r="O23">
        <v>2007067</v>
      </c>
      <c r="P23">
        <v>2557618</v>
      </c>
      <c r="Q23">
        <v>90</v>
      </c>
      <c r="R23" t="s">
        <v>28</v>
      </c>
      <c r="S23" s="1">
        <v>46249</v>
      </c>
      <c r="T23" s="3">
        <f>N23/F23</f>
        <v>0.53374233128834359</v>
      </c>
    </row>
    <row r="24" spans="1:20" x14ac:dyDescent="0.25">
      <c r="A24" t="s">
        <v>136</v>
      </c>
      <c r="C24" t="s">
        <v>137</v>
      </c>
      <c r="D24" s="2">
        <v>134</v>
      </c>
      <c r="E24" t="s">
        <v>71</v>
      </c>
      <c r="F24">
        <v>134</v>
      </c>
      <c r="H24">
        <v>51</v>
      </c>
      <c r="I24">
        <v>32</v>
      </c>
      <c r="J24">
        <v>13</v>
      </c>
      <c r="K24" t="s">
        <v>27</v>
      </c>
      <c r="L24" t="s">
        <v>23</v>
      </c>
      <c r="N24">
        <v>71</v>
      </c>
      <c r="O24">
        <v>1677639</v>
      </c>
      <c r="P24">
        <v>3036730</v>
      </c>
      <c r="Q24">
        <v>90</v>
      </c>
      <c r="R24" t="s">
        <v>28</v>
      </c>
      <c r="S24" s="1">
        <v>46249</v>
      </c>
      <c r="T24" s="3">
        <f>N24/F24</f>
        <v>0.52985074626865669</v>
      </c>
    </row>
    <row r="25" spans="1:20" x14ac:dyDescent="0.25">
      <c r="A25" t="s">
        <v>32</v>
      </c>
      <c r="C25" t="s">
        <v>20</v>
      </c>
      <c r="D25" s="2">
        <v>193</v>
      </c>
      <c r="E25" t="s">
        <v>33</v>
      </c>
      <c r="F25">
        <v>193</v>
      </c>
      <c r="H25">
        <v>36</v>
      </c>
      <c r="I25">
        <v>33</v>
      </c>
      <c r="J25">
        <v>11</v>
      </c>
      <c r="K25" t="s">
        <v>27</v>
      </c>
      <c r="L25" t="s">
        <v>23</v>
      </c>
      <c r="N25">
        <v>102</v>
      </c>
      <c r="O25">
        <v>9851470</v>
      </c>
      <c r="P25">
        <v>12006173</v>
      </c>
      <c r="Q25">
        <v>90</v>
      </c>
      <c r="R25" t="s">
        <v>28</v>
      </c>
      <c r="S25" s="1">
        <v>46248</v>
      </c>
      <c r="T25" s="3">
        <f>N25/F25</f>
        <v>0.52849740932642486</v>
      </c>
    </row>
    <row r="26" spans="1:20" x14ac:dyDescent="0.25">
      <c r="A26" t="s">
        <v>57</v>
      </c>
      <c r="C26" t="s">
        <v>56</v>
      </c>
      <c r="D26" s="2">
        <v>236</v>
      </c>
      <c r="E26" t="s">
        <v>58</v>
      </c>
      <c r="F26">
        <v>236</v>
      </c>
      <c r="H26">
        <v>52</v>
      </c>
      <c r="I26">
        <v>33</v>
      </c>
      <c r="J26">
        <v>16</v>
      </c>
      <c r="K26" t="s">
        <v>27</v>
      </c>
      <c r="L26" t="s">
        <v>23</v>
      </c>
      <c r="N26">
        <v>122</v>
      </c>
      <c r="O26">
        <v>2123903</v>
      </c>
      <c r="P26">
        <v>3319597</v>
      </c>
      <c r="Q26">
        <v>90</v>
      </c>
      <c r="R26" t="s">
        <v>28</v>
      </c>
      <c r="S26" s="1">
        <v>46249</v>
      </c>
      <c r="T26" s="3">
        <f>N26/F26</f>
        <v>0.51694915254237284</v>
      </c>
    </row>
    <row r="27" spans="1:20" x14ac:dyDescent="0.25">
      <c r="A27" t="s">
        <v>83</v>
      </c>
      <c r="C27" t="s">
        <v>84</v>
      </c>
      <c r="D27" s="2">
        <v>200</v>
      </c>
      <c r="E27" t="s">
        <v>21</v>
      </c>
      <c r="F27">
        <v>200</v>
      </c>
      <c r="H27">
        <v>34</v>
      </c>
      <c r="I27">
        <v>36</v>
      </c>
      <c r="J27">
        <v>7</v>
      </c>
      <c r="K27" t="s">
        <v>27</v>
      </c>
      <c r="L27" t="s">
        <v>23</v>
      </c>
      <c r="N27">
        <v>103</v>
      </c>
      <c r="O27">
        <v>8378120</v>
      </c>
      <c r="P27">
        <v>9840160</v>
      </c>
      <c r="Q27">
        <v>90</v>
      </c>
      <c r="R27" t="s">
        <v>28</v>
      </c>
      <c r="S27" s="1">
        <v>46248</v>
      </c>
      <c r="T27" s="3">
        <f>N27/F27</f>
        <v>0.51500000000000001</v>
      </c>
    </row>
    <row r="28" spans="1:20" x14ac:dyDescent="0.25">
      <c r="A28" t="s">
        <v>124</v>
      </c>
      <c r="C28" t="s">
        <v>125</v>
      </c>
      <c r="D28" s="2">
        <v>156</v>
      </c>
      <c r="E28" t="s">
        <v>67</v>
      </c>
      <c r="F28">
        <v>156</v>
      </c>
      <c r="H28">
        <v>36</v>
      </c>
      <c r="I28">
        <v>27</v>
      </c>
      <c r="J28">
        <v>10</v>
      </c>
      <c r="K28" t="s">
        <v>27</v>
      </c>
      <c r="L28" t="s">
        <v>23</v>
      </c>
      <c r="N28">
        <v>79</v>
      </c>
      <c r="O28">
        <v>1607020</v>
      </c>
      <c r="P28">
        <v>2272373</v>
      </c>
      <c r="Q28">
        <v>90</v>
      </c>
      <c r="R28" t="s">
        <v>28</v>
      </c>
      <c r="S28" s="1">
        <v>46249</v>
      </c>
      <c r="T28" s="3">
        <f>N28/F28</f>
        <v>0.50641025641025639</v>
      </c>
    </row>
    <row r="29" spans="1:20" x14ac:dyDescent="0.25">
      <c r="A29" t="s">
        <v>116</v>
      </c>
      <c r="C29" t="s">
        <v>117</v>
      </c>
      <c r="D29" s="2">
        <v>376</v>
      </c>
      <c r="E29" t="s">
        <v>58</v>
      </c>
      <c r="F29">
        <v>376</v>
      </c>
      <c r="H29">
        <v>48</v>
      </c>
      <c r="I29">
        <v>39</v>
      </c>
      <c r="J29">
        <v>33</v>
      </c>
      <c r="K29" t="s">
        <v>27</v>
      </c>
      <c r="L29" t="s">
        <v>23</v>
      </c>
      <c r="N29">
        <v>186</v>
      </c>
      <c r="O29">
        <v>1405711</v>
      </c>
      <c r="P29">
        <v>1753390</v>
      </c>
      <c r="Q29">
        <v>90</v>
      </c>
      <c r="R29" t="s">
        <v>28</v>
      </c>
      <c r="S29" s="1">
        <v>46249</v>
      </c>
      <c r="T29" s="3">
        <f>N29/F29</f>
        <v>0.49468085106382981</v>
      </c>
    </row>
    <row r="30" spans="1:20" x14ac:dyDescent="0.25">
      <c r="A30" t="s">
        <v>91</v>
      </c>
      <c r="C30" t="s">
        <v>84</v>
      </c>
      <c r="D30" s="2">
        <v>393</v>
      </c>
      <c r="E30" t="s">
        <v>67</v>
      </c>
      <c r="F30">
        <v>393</v>
      </c>
      <c r="H30">
        <v>40</v>
      </c>
      <c r="I30">
        <v>30</v>
      </c>
      <c r="J30">
        <v>15</v>
      </c>
      <c r="K30" t="s">
        <v>27</v>
      </c>
      <c r="L30" t="s">
        <v>23</v>
      </c>
      <c r="N30">
        <v>191</v>
      </c>
      <c r="O30">
        <v>1945430</v>
      </c>
      <c r="P30">
        <v>2062220</v>
      </c>
      <c r="Q30">
        <v>90</v>
      </c>
      <c r="R30" t="s">
        <v>28</v>
      </c>
      <c r="S30" s="1">
        <v>46249</v>
      </c>
      <c r="T30" s="3">
        <f>N30/F30</f>
        <v>0.48600508905852419</v>
      </c>
    </row>
    <row r="31" spans="1:20" x14ac:dyDescent="0.25">
      <c r="A31" t="s">
        <v>108</v>
      </c>
      <c r="C31" t="s">
        <v>107</v>
      </c>
      <c r="D31" s="2">
        <v>278</v>
      </c>
      <c r="E31" t="s">
        <v>58</v>
      </c>
      <c r="F31">
        <v>278</v>
      </c>
      <c r="H31">
        <v>43</v>
      </c>
      <c r="I31">
        <v>38</v>
      </c>
      <c r="J31">
        <v>3</v>
      </c>
      <c r="K31" t="s">
        <v>27</v>
      </c>
      <c r="L31" t="s">
        <v>23</v>
      </c>
      <c r="N31">
        <v>128</v>
      </c>
      <c r="O31">
        <v>6386472</v>
      </c>
      <c r="P31">
        <v>7156450</v>
      </c>
      <c r="Q31">
        <v>90</v>
      </c>
      <c r="R31" t="s">
        <v>28</v>
      </c>
      <c r="S31" s="1">
        <v>46248</v>
      </c>
      <c r="T31" s="3">
        <f>N31/F31</f>
        <v>0.46043165467625902</v>
      </c>
    </row>
    <row r="32" spans="1:20" x14ac:dyDescent="0.25">
      <c r="A32" t="s">
        <v>106</v>
      </c>
      <c r="C32" t="s">
        <v>107</v>
      </c>
      <c r="D32" s="2">
        <v>242</v>
      </c>
      <c r="E32" t="s">
        <v>38</v>
      </c>
      <c r="F32">
        <v>252</v>
      </c>
      <c r="H32">
        <v>28</v>
      </c>
      <c r="I32">
        <v>25</v>
      </c>
      <c r="J32">
        <v>5</v>
      </c>
      <c r="K32" t="s">
        <v>27</v>
      </c>
      <c r="L32" t="s">
        <v>23</v>
      </c>
      <c r="N32">
        <v>114</v>
      </c>
      <c r="O32">
        <v>14716883</v>
      </c>
      <c r="P32">
        <v>18832995</v>
      </c>
      <c r="Q32">
        <v>90</v>
      </c>
      <c r="R32" t="s">
        <v>28</v>
      </c>
      <c r="S32" s="1">
        <v>46248</v>
      </c>
      <c r="T32" s="3">
        <f>N32/F32</f>
        <v>0.45238095238095238</v>
      </c>
    </row>
    <row r="33" spans="1:20" x14ac:dyDescent="0.25">
      <c r="A33" t="s">
        <v>121</v>
      </c>
      <c r="C33" t="s">
        <v>117</v>
      </c>
      <c r="D33" s="2">
        <v>459</v>
      </c>
      <c r="E33" t="s">
        <v>71</v>
      </c>
      <c r="F33">
        <v>459</v>
      </c>
      <c r="H33">
        <v>40</v>
      </c>
      <c r="I33">
        <v>30</v>
      </c>
      <c r="J33">
        <v>42</v>
      </c>
      <c r="K33" t="s">
        <v>27</v>
      </c>
      <c r="L33" t="s">
        <v>23</v>
      </c>
      <c r="N33">
        <v>205</v>
      </c>
      <c r="O33">
        <v>1222149</v>
      </c>
      <c r="P33">
        <v>2104713</v>
      </c>
      <c r="Q33">
        <v>90</v>
      </c>
      <c r="R33" t="s">
        <v>28</v>
      </c>
      <c r="S33" s="1">
        <v>46249</v>
      </c>
      <c r="T33" s="3">
        <f>N33/F33</f>
        <v>0.44662309368191722</v>
      </c>
    </row>
    <row r="34" spans="1:20" x14ac:dyDescent="0.25">
      <c r="A34" t="s">
        <v>41</v>
      </c>
      <c r="C34" t="s">
        <v>37</v>
      </c>
      <c r="D34" s="2">
        <v>243</v>
      </c>
      <c r="E34" t="s">
        <v>42</v>
      </c>
      <c r="F34">
        <v>243</v>
      </c>
      <c r="H34">
        <v>33</v>
      </c>
      <c r="I34">
        <v>23</v>
      </c>
      <c r="J34">
        <v>21</v>
      </c>
      <c r="K34" t="s">
        <v>27</v>
      </c>
      <c r="L34" t="s">
        <v>23</v>
      </c>
      <c r="N34">
        <v>107</v>
      </c>
      <c r="O34">
        <v>5458013</v>
      </c>
      <c r="P34">
        <v>8849773</v>
      </c>
      <c r="Q34">
        <v>90</v>
      </c>
      <c r="R34" t="s">
        <v>28</v>
      </c>
      <c r="S34" s="1">
        <v>46248</v>
      </c>
      <c r="T34" s="3">
        <f>N34/F34</f>
        <v>0.44032921810699588</v>
      </c>
    </row>
    <row r="35" spans="1:20" x14ac:dyDescent="0.25">
      <c r="A35" t="s">
        <v>133</v>
      </c>
      <c r="C35" t="s">
        <v>125</v>
      </c>
      <c r="D35" s="2">
        <v>426</v>
      </c>
      <c r="E35" t="s">
        <v>67</v>
      </c>
      <c r="F35">
        <v>426</v>
      </c>
      <c r="H35">
        <v>43</v>
      </c>
      <c r="I35">
        <v>32</v>
      </c>
      <c r="J35">
        <v>34</v>
      </c>
      <c r="K35" t="s">
        <v>27</v>
      </c>
      <c r="L35" t="s">
        <v>23</v>
      </c>
      <c r="N35">
        <v>182</v>
      </c>
      <c r="O35">
        <v>1065078</v>
      </c>
      <c r="P35">
        <v>1424149</v>
      </c>
      <c r="Q35">
        <v>90</v>
      </c>
      <c r="R35" t="s">
        <v>28</v>
      </c>
      <c r="S35" s="1">
        <v>46249</v>
      </c>
      <c r="T35" s="3">
        <f>N35/F35</f>
        <v>0.42723004694835681</v>
      </c>
    </row>
    <row r="36" spans="1:20" x14ac:dyDescent="0.25">
      <c r="A36" t="s">
        <v>34</v>
      </c>
      <c r="C36" t="s">
        <v>20</v>
      </c>
      <c r="D36" s="2">
        <v>169</v>
      </c>
      <c r="E36" t="s">
        <v>21</v>
      </c>
      <c r="F36">
        <v>169</v>
      </c>
      <c r="H36">
        <v>52</v>
      </c>
      <c r="I36">
        <v>15</v>
      </c>
      <c r="J36">
        <v>6</v>
      </c>
      <c r="K36" t="s">
        <v>27</v>
      </c>
      <c r="L36" t="s">
        <v>23</v>
      </c>
      <c r="N36">
        <v>72</v>
      </c>
      <c r="O36">
        <v>16745856</v>
      </c>
      <c r="P36">
        <v>20742005</v>
      </c>
      <c r="Q36">
        <v>90</v>
      </c>
      <c r="R36" t="s">
        <v>28</v>
      </c>
      <c r="S36" s="1">
        <v>46248</v>
      </c>
      <c r="T36" s="3">
        <f>N36/F36</f>
        <v>0.42603550295857989</v>
      </c>
    </row>
    <row r="37" spans="1:20" x14ac:dyDescent="0.25">
      <c r="A37" t="s">
        <v>70</v>
      </c>
      <c r="C37" t="s">
        <v>56</v>
      </c>
      <c r="D37" s="2">
        <v>283</v>
      </c>
      <c r="E37" t="s">
        <v>71</v>
      </c>
      <c r="F37">
        <v>283</v>
      </c>
      <c r="H37">
        <v>52</v>
      </c>
      <c r="I37">
        <v>33</v>
      </c>
      <c r="J37">
        <v>21</v>
      </c>
      <c r="K37" t="s">
        <v>27</v>
      </c>
      <c r="L37" t="s">
        <v>23</v>
      </c>
      <c r="N37">
        <v>120</v>
      </c>
      <c r="O37">
        <v>1837053</v>
      </c>
      <c r="P37">
        <v>2620534</v>
      </c>
      <c r="Q37">
        <v>90</v>
      </c>
      <c r="R37" t="s">
        <v>28</v>
      </c>
      <c r="S37" s="1">
        <v>46249</v>
      </c>
      <c r="T37" s="3">
        <f>N37/F37</f>
        <v>0.42402826855123676</v>
      </c>
    </row>
    <row r="38" spans="1:20" x14ac:dyDescent="0.25">
      <c r="A38" t="s">
        <v>62</v>
      </c>
      <c r="C38" t="s">
        <v>56</v>
      </c>
      <c r="D38" s="2">
        <v>119</v>
      </c>
      <c r="E38" t="s">
        <v>21</v>
      </c>
      <c r="F38">
        <v>119</v>
      </c>
      <c r="H38">
        <v>36</v>
      </c>
      <c r="I38">
        <v>29</v>
      </c>
      <c r="J38">
        <v>11</v>
      </c>
      <c r="K38" t="s">
        <v>27</v>
      </c>
      <c r="L38" t="s">
        <v>23</v>
      </c>
      <c r="N38">
        <v>50</v>
      </c>
      <c r="O38">
        <v>2239237</v>
      </c>
      <c r="P38">
        <v>3047400</v>
      </c>
      <c r="Q38">
        <v>90</v>
      </c>
      <c r="R38" t="s">
        <v>28</v>
      </c>
      <c r="S38" s="1">
        <v>46249</v>
      </c>
      <c r="T38" s="3">
        <f>N38/F38</f>
        <v>0.42016806722689076</v>
      </c>
    </row>
    <row r="39" spans="1:20" x14ac:dyDescent="0.25">
      <c r="A39" t="s">
        <v>131</v>
      </c>
      <c r="C39" t="s">
        <v>125</v>
      </c>
      <c r="D39" s="2">
        <v>142</v>
      </c>
      <c r="E39" t="s">
        <v>132</v>
      </c>
      <c r="F39">
        <v>142</v>
      </c>
      <c r="H39">
        <v>53</v>
      </c>
      <c r="I39">
        <v>39</v>
      </c>
      <c r="J39">
        <v>31</v>
      </c>
      <c r="K39" t="s">
        <v>27</v>
      </c>
      <c r="L39" t="s">
        <v>23</v>
      </c>
      <c r="N39">
        <v>59</v>
      </c>
      <c r="O39">
        <v>525829</v>
      </c>
      <c r="P39">
        <v>761098</v>
      </c>
      <c r="Q39">
        <v>90</v>
      </c>
      <c r="R39" t="s">
        <v>28</v>
      </c>
      <c r="S39" s="1">
        <v>46249</v>
      </c>
      <c r="T39" s="3">
        <f>N39/F39</f>
        <v>0.41549295774647887</v>
      </c>
    </row>
    <row r="40" spans="1:20" x14ac:dyDescent="0.25">
      <c r="A40" t="s">
        <v>79</v>
      </c>
      <c r="C40" t="s">
        <v>75</v>
      </c>
      <c r="D40" s="2">
        <v>383</v>
      </c>
      <c r="E40" t="s">
        <v>38</v>
      </c>
      <c r="F40">
        <v>383</v>
      </c>
      <c r="H40">
        <v>28</v>
      </c>
      <c r="I40">
        <v>24</v>
      </c>
      <c r="J40">
        <v>8</v>
      </c>
      <c r="K40" t="s">
        <v>27</v>
      </c>
      <c r="L40" t="s">
        <v>23</v>
      </c>
      <c r="N40">
        <v>154</v>
      </c>
      <c r="O40">
        <v>14259609</v>
      </c>
      <c r="P40">
        <v>15769102</v>
      </c>
      <c r="Q40">
        <v>90</v>
      </c>
      <c r="R40" t="s">
        <v>28</v>
      </c>
      <c r="S40" s="1">
        <v>46248</v>
      </c>
      <c r="T40" s="3">
        <f>N40/F40</f>
        <v>0.40208877284595301</v>
      </c>
    </row>
    <row r="41" spans="1:20" x14ac:dyDescent="0.25">
      <c r="A41" t="s">
        <v>86</v>
      </c>
      <c r="C41" t="s">
        <v>84</v>
      </c>
      <c r="D41" s="2">
        <v>283</v>
      </c>
      <c r="E41" t="s">
        <v>71</v>
      </c>
      <c r="F41">
        <v>283</v>
      </c>
      <c r="H41">
        <v>48</v>
      </c>
      <c r="I41">
        <v>30</v>
      </c>
      <c r="J41">
        <v>16</v>
      </c>
      <c r="K41" t="s">
        <v>27</v>
      </c>
      <c r="L41" t="s">
        <v>23</v>
      </c>
      <c r="N41">
        <v>112</v>
      </c>
      <c r="O41">
        <v>2118035</v>
      </c>
      <c r="P41">
        <v>2559979</v>
      </c>
      <c r="Q41">
        <v>90</v>
      </c>
      <c r="R41" t="s">
        <v>28</v>
      </c>
      <c r="S41" s="1">
        <v>46249</v>
      </c>
      <c r="T41" s="3">
        <f>N41/F41</f>
        <v>0.39575971731448761</v>
      </c>
    </row>
    <row r="42" spans="1:20" x14ac:dyDescent="0.25">
      <c r="A42" t="s">
        <v>59</v>
      </c>
      <c r="C42" t="s">
        <v>56</v>
      </c>
      <c r="D42" s="2">
        <v>257</v>
      </c>
      <c r="E42" t="s">
        <v>21</v>
      </c>
      <c r="F42">
        <v>257</v>
      </c>
      <c r="H42">
        <v>45</v>
      </c>
      <c r="I42">
        <v>32</v>
      </c>
      <c r="J42">
        <v>7</v>
      </c>
      <c r="K42" t="s">
        <v>27</v>
      </c>
      <c r="L42" t="s">
        <v>23</v>
      </c>
      <c r="N42">
        <v>94</v>
      </c>
      <c r="O42">
        <v>2677611</v>
      </c>
      <c r="P42">
        <v>3599955</v>
      </c>
      <c r="Q42">
        <v>90</v>
      </c>
      <c r="R42" t="s">
        <v>28</v>
      </c>
      <c r="S42" s="1">
        <v>46249</v>
      </c>
      <c r="T42" s="3">
        <f>N42/F42</f>
        <v>0.36575875486381321</v>
      </c>
    </row>
    <row r="43" spans="1:20" x14ac:dyDescent="0.25">
      <c r="A43" t="s">
        <v>43</v>
      </c>
      <c r="C43" t="s">
        <v>37</v>
      </c>
      <c r="D43" s="2">
        <v>213</v>
      </c>
      <c r="E43" t="s">
        <v>42</v>
      </c>
      <c r="F43">
        <v>213</v>
      </c>
      <c r="H43">
        <v>28</v>
      </c>
      <c r="I43">
        <v>14</v>
      </c>
      <c r="J43">
        <v>15</v>
      </c>
      <c r="K43" t="s">
        <v>27</v>
      </c>
      <c r="L43" t="s">
        <v>23</v>
      </c>
      <c r="N43">
        <v>77</v>
      </c>
      <c r="O43">
        <v>3321932</v>
      </c>
      <c r="P43">
        <v>4573471</v>
      </c>
      <c r="Q43">
        <v>90</v>
      </c>
      <c r="R43" t="s">
        <v>28</v>
      </c>
      <c r="S43" s="1">
        <v>46248</v>
      </c>
      <c r="T43" s="3">
        <f>N43/F43</f>
        <v>0.36150234741784038</v>
      </c>
    </row>
    <row r="44" spans="1:20" x14ac:dyDescent="0.25">
      <c r="A44" t="s">
        <v>112</v>
      </c>
      <c r="C44" t="s">
        <v>107</v>
      </c>
      <c r="D44" s="2">
        <v>447</v>
      </c>
      <c r="E44" t="s">
        <v>67</v>
      </c>
      <c r="F44">
        <v>447</v>
      </c>
      <c r="H44">
        <v>43</v>
      </c>
      <c r="I44">
        <v>35</v>
      </c>
      <c r="J44">
        <v>19</v>
      </c>
      <c r="K44" t="s">
        <v>27</v>
      </c>
      <c r="L44" t="s">
        <v>23</v>
      </c>
      <c r="N44">
        <v>161</v>
      </c>
      <c r="O44">
        <v>10385263</v>
      </c>
      <c r="P44">
        <v>12089759</v>
      </c>
      <c r="Q44">
        <v>90</v>
      </c>
      <c r="R44" t="s">
        <v>28</v>
      </c>
      <c r="S44" s="1">
        <v>46248</v>
      </c>
      <c r="T44" s="3">
        <f>N44/F44</f>
        <v>0.36017897091722595</v>
      </c>
    </row>
    <row r="45" spans="1:20" x14ac:dyDescent="0.25">
      <c r="A45" t="s">
        <v>80</v>
      </c>
      <c r="C45" t="s">
        <v>75</v>
      </c>
      <c r="D45" s="2">
        <v>417</v>
      </c>
      <c r="E45" t="s">
        <v>51</v>
      </c>
      <c r="F45">
        <v>417</v>
      </c>
      <c r="H45">
        <v>41</v>
      </c>
      <c r="I45">
        <v>29</v>
      </c>
      <c r="J45">
        <v>22</v>
      </c>
      <c r="K45" t="s">
        <v>27</v>
      </c>
      <c r="L45" t="s">
        <v>23</v>
      </c>
      <c r="N45">
        <v>150</v>
      </c>
      <c r="O45">
        <v>6819799</v>
      </c>
      <c r="P45">
        <v>8898756</v>
      </c>
      <c r="Q45">
        <v>90</v>
      </c>
      <c r="R45" t="s">
        <v>28</v>
      </c>
      <c r="S45" s="1">
        <v>46248</v>
      </c>
      <c r="T45" s="3">
        <f>N45/F45</f>
        <v>0.35971223021582732</v>
      </c>
    </row>
    <row r="46" spans="1:20" x14ac:dyDescent="0.25">
      <c r="A46" t="s">
        <v>92</v>
      </c>
      <c r="C46" t="s">
        <v>84</v>
      </c>
      <c r="D46" s="2">
        <v>340</v>
      </c>
      <c r="E46" t="s">
        <v>71</v>
      </c>
      <c r="F46">
        <v>340</v>
      </c>
      <c r="H46">
        <v>39</v>
      </c>
      <c r="I46">
        <v>32</v>
      </c>
      <c r="J46">
        <v>17</v>
      </c>
      <c r="K46" t="s">
        <v>27</v>
      </c>
      <c r="L46" t="s">
        <v>23</v>
      </c>
      <c r="N46">
        <v>121</v>
      </c>
      <c r="O46">
        <v>2571271</v>
      </c>
      <c r="P46">
        <v>3414819</v>
      </c>
      <c r="Q46">
        <v>90</v>
      </c>
      <c r="R46" t="s">
        <v>28</v>
      </c>
      <c r="S46" s="1">
        <v>46249</v>
      </c>
      <c r="T46" s="3">
        <f>N46/F46</f>
        <v>0.35588235294117648</v>
      </c>
    </row>
    <row r="47" spans="1:20" x14ac:dyDescent="0.25">
      <c r="A47" t="s">
        <v>36</v>
      </c>
      <c r="C47" t="s">
        <v>37</v>
      </c>
      <c r="D47" s="2">
        <v>402</v>
      </c>
      <c r="E47" t="s">
        <v>38</v>
      </c>
      <c r="F47">
        <v>432</v>
      </c>
      <c r="H47">
        <v>57</v>
      </c>
      <c r="I47">
        <v>21</v>
      </c>
      <c r="J47">
        <v>17</v>
      </c>
      <c r="K47" t="s">
        <v>27</v>
      </c>
      <c r="L47" t="s">
        <v>23</v>
      </c>
      <c r="N47">
        <v>153</v>
      </c>
      <c r="O47">
        <v>6656102</v>
      </c>
      <c r="P47">
        <v>7281664</v>
      </c>
      <c r="Q47">
        <v>90</v>
      </c>
      <c r="R47" t="s">
        <v>28</v>
      </c>
      <c r="S47" s="1">
        <v>46248</v>
      </c>
      <c r="T47" s="3">
        <f>N47/F47</f>
        <v>0.35416666666666669</v>
      </c>
    </row>
    <row r="48" spans="1:20" x14ac:dyDescent="0.25">
      <c r="A48" t="s">
        <v>66</v>
      </c>
      <c r="C48" t="s">
        <v>56</v>
      </c>
      <c r="D48" s="2">
        <v>402</v>
      </c>
      <c r="E48" t="s">
        <v>67</v>
      </c>
      <c r="F48">
        <v>402</v>
      </c>
      <c r="H48">
        <v>50</v>
      </c>
      <c r="I48">
        <v>37</v>
      </c>
      <c r="J48">
        <v>17</v>
      </c>
      <c r="K48" t="s">
        <v>27</v>
      </c>
      <c r="L48" t="s">
        <v>23</v>
      </c>
      <c r="N48">
        <v>134</v>
      </c>
      <c r="O48">
        <v>2205355</v>
      </c>
      <c r="P48">
        <v>2769535</v>
      </c>
      <c r="Q48">
        <v>90</v>
      </c>
      <c r="R48" t="s">
        <v>28</v>
      </c>
      <c r="S48" s="1">
        <v>46249</v>
      </c>
      <c r="T48" s="3">
        <f>N48/F48</f>
        <v>0.33333333333333331</v>
      </c>
    </row>
    <row r="49" spans="1:20" x14ac:dyDescent="0.25">
      <c r="A49" t="s">
        <v>89</v>
      </c>
      <c r="C49" t="s">
        <v>84</v>
      </c>
      <c r="D49" s="2">
        <v>246</v>
      </c>
      <c r="E49" t="s">
        <v>90</v>
      </c>
      <c r="F49">
        <v>246</v>
      </c>
      <c r="H49">
        <v>43</v>
      </c>
      <c r="I49">
        <v>28</v>
      </c>
      <c r="J49">
        <v>16</v>
      </c>
      <c r="K49" t="s">
        <v>27</v>
      </c>
      <c r="L49" t="s">
        <v>23</v>
      </c>
      <c r="N49">
        <v>81</v>
      </c>
      <c r="O49">
        <v>2395137</v>
      </c>
      <c r="P49">
        <v>2990208</v>
      </c>
      <c r="Q49">
        <v>90</v>
      </c>
      <c r="R49" t="s">
        <v>28</v>
      </c>
      <c r="S49" s="1">
        <v>46249</v>
      </c>
      <c r="T49" s="3">
        <f>N49/F49</f>
        <v>0.32926829268292684</v>
      </c>
    </row>
    <row r="50" spans="1:20" x14ac:dyDescent="0.25">
      <c r="A50" t="s">
        <v>113</v>
      </c>
      <c r="C50" t="s">
        <v>107</v>
      </c>
      <c r="D50" s="2">
        <v>578</v>
      </c>
      <c r="E50" t="s">
        <v>58</v>
      </c>
      <c r="F50">
        <v>578</v>
      </c>
      <c r="H50">
        <v>41</v>
      </c>
      <c r="I50">
        <v>35</v>
      </c>
      <c r="J50">
        <v>19</v>
      </c>
      <c r="K50" t="s">
        <v>27</v>
      </c>
      <c r="L50" t="s">
        <v>23</v>
      </c>
      <c r="N50">
        <v>186</v>
      </c>
      <c r="O50">
        <v>9473093</v>
      </c>
      <c r="P50">
        <v>11790902</v>
      </c>
      <c r="Q50">
        <v>90</v>
      </c>
      <c r="R50" t="s">
        <v>28</v>
      </c>
      <c r="S50" s="1">
        <v>46248</v>
      </c>
      <c r="T50" s="3">
        <f>N50/F50</f>
        <v>0.3217993079584775</v>
      </c>
    </row>
    <row r="51" spans="1:20" x14ac:dyDescent="0.25">
      <c r="A51" t="s">
        <v>68</v>
      </c>
      <c r="C51" t="s">
        <v>56</v>
      </c>
      <c r="D51" s="2">
        <v>341</v>
      </c>
      <c r="E51" t="s">
        <v>69</v>
      </c>
      <c r="F51">
        <v>341</v>
      </c>
      <c r="H51">
        <v>53</v>
      </c>
      <c r="I51">
        <v>29</v>
      </c>
      <c r="J51">
        <v>17</v>
      </c>
      <c r="K51" t="s">
        <v>27</v>
      </c>
      <c r="L51" t="s">
        <v>23</v>
      </c>
      <c r="N51">
        <v>105</v>
      </c>
      <c r="O51">
        <v>1731769</v>
      </c>
      <c r="P51">
        <v>2297227</v>
      </c>
      <c r="Q51">
        <v>90</v>
      </c>
      <c r="R51" t="s">
        <v>28</v>
      </c>
      <c r="S51" s="1">
        <v>46249</v>
      </c>
      <c r="T51" s="3">
        <f>N51/F51</f>
        <v>0.30791788856304986</v>
      </c>
    </row>
    <row r="52" spans="1:20" x14ac:dyDescent="0.25">
      <c r="A52" t="s">
        <v>138</v>
      </c>
      <c r="C52" t="s">
        <v>137</v>
      </c>
      <c r="D52" s="2">
        <v>620</v>
      </c>
      <c r="E52" t="s">
        <v>71</v>
      </c>
      <c r="F52">
        <v>620</v>
      </c>
      <c r="H52">
        <v>47</v>
      </c>
      <c r="I52">
        <v>36</v>
      </c>
      <c r="J52">
        <v>20</v>
      </c>
      <c r="K52" t="s">
        <v>27</v>
      </c>
      <c r="L52" t="s">
        <v>23</v>
      </c>
      <c r="N52">
        <v>174</v>
      </c>
      <c r="O52">
        <v>1274823</v>
      </c>
      <c r="P52">
        <v>2165660</v>
      </c>
      <c r="Q52">
        <v>90</v>
      </c>
      <c r="R52" t="s">
        <v>28</v>
      </c>
      <c r="S52" s="1">
        <v>46249</v>
      </c>
      <c r="T52" s="3">
        <f>N52/F52</f>
        <v>0.28064516129032258</v>
      </c>
    </row>
    <row r="53" spans="1:20" x14ac:dyDescent="0.25">
      <c r="A53" t="s">
        <v>120</v>
      </c>
      <c r="C53" t="s">
        <v>117</v>
      </c>
      <c r="D53" s="2">
        <v>271</v>
      </c>
      <c r="E53" t="s">
        <v>53</v>
      </c>
      <c r="F53">
        <v>271</v>
      </c>
      <c r="H53">
        <v>39</v>
      </c>
      <c r="I53">
        <v>31</v>
      </c>
      <c r="J53">
        <v>22</v>
      </c>
      <c r="K53" t="s">
        <v>27</v>
      </c>
      <c r="L53" t="s">
        <v>23</v>
      </c>
      <c r="N53">
        <v>76</v>
      </c>
      <c r="O53">
        <v>956145</v>
      </c>
      <c r="P53">
        <v>1736705</v>
      </c>
      <c r="Q53">
        <v>90</v>
      </c>
      <c r="R53" t="s">
        <v>28</v>
      </c>
      <c r="S53" s="1">
        <v>46249</v>
      </c>
      <c r="T53" s="3">
        <f>N53/F53</f>
        <v>0.28044280442804426</v>
      </c>
    </row>
    <row r="54" spans="1:20" x14ac:dyDescent="0.25">
      <c r="A54" t="s">
        <v>98</v>
      </c>
      <c r="C54" t="s">
        <v>96</v>
      </c>
      <c r="D54" s="2">
        <v>256</v>
      </c>
      <c r="E54" t="s">
        <v>71</v>
      </c>
      <c r="F54">
        <v>256</v>
      </c>
      <c r="H54">
        <v>41</v>
      </c>
      <c r="I54">
        <v>27</v>
      </c>
      <c r="J54">
        <v>12</v>
      </c>
      <c r="K54" t="s">
        <v>27</v>
      </c>
      <c r="L54" t="s">
        <v>23</v>
      </c>
      <c r="N54">
        <v>69</v>
      </c>
      <c r="O54">
        <v>1420601</v>
      </c>
      <c r="P54">
        <v>2159435</v>
      </c>
      <c r="Q54">
        <v>90</v>
      </c>
      <c r="R54" t="s">
        <v>28</v>
      </c>
      <c r="S54" s="1">
        <v>46249</v>
      </c>
      <c r="T54" s="3">
        <f>N54/F54</f>
        <v>0.26953125</v>
      </c>
    </row>
    <row r="55" spans="1:20" x14ac:dyDescent="0.25">
      <c r="A55" t="s">
        <v>88</v>
      </c>
      <c r="C55" t="s">
        <v>84</v>
      </c>
      <c r="D55" s="2">
        <v>500</v>
      </c>
      <c r="E55" t="s">
        <v>51</v>
      </c>
      <c r="F55">
        <v>512</v>
      </c>
      <c r="H55">
        <v>47</v>
      </c>
      <c r="I55">
        <v>36</v>
      </c>
      <c r="J55">
        <v>21</v>
      </c>
      <c r="K55" t="s">
        <v>27</v>
      </c>
      <c r="L55" t="s">
        <v>23</v>
      </c>
      <c r="N55">
        <v>131</v>
      </c>
      <c r="O55">
        <v>1690273</v>
      </c>
      <c r="P55">
        <v>2147970</v>
      </c>
      <c r="Q55">
        <v>90</v>
      </c>
      <c r="R55" t="s">
        <v>28</v>
      </c>
      <c r="S55" s="1">
        <v>46249</v>
      </c>
      <c r="T55" s="3">
        <f>N55/F55</f>
        <v>0.255859375</v>
      </c>
    </row>
    <row r="56" spans="1:20" x14ac:dyDescent="0.25">
      <c r="A56" t="s">
        <v>63</v>
      </c>
      <c r="C56" t="s">
        <v>56</v>
      </c>
      <c r="D56" s="2">
        <v>235</v>
      </c>
      <c r="E56" t="s">
        <v>64</v>
      </c>
      <c r="F56">
        <v>235</v>
      </c>
      <c r="H56">
        <v>45</v>
      </c>
      <c r="I56">
        <v>27</v>
      </c>
      <c r="J56">
        <v>9</v>
      </c>
      <c r="K56" t="s">
        <v>27</v>
      </c>
      <c r="L56" t="s">
        <v>23</v>
      </c>
      <c r="N56">
        <v>60</v>
      </c>
      <c r="O56">
        <v>2701372</v>
      </c>
      <c r="P56">
        <v>3797580</v>
      </c>
      <c r="Q56">
        <v>90</v>
      </c>
      <c r="R56" t="s">
        <v>28</v>
      </c>
      <c r="S56" s="1">
        <v>46249</v>
      </c>
      <c r="T56" s="3">
        <f>N56/F56</f>
        <v>0.25531914893617019</v>
      </c>
    </row>
    <row r="57" spans="1:20" x14ac:dyDescent="0.25">
      <c r="A57" t="s">
        <v>78</v>
      </c>
      <c r="C57" t="s">
        <v>75</v>
      </c>
      <c r="D57" s="2">
        <v>564</v>
      </c>
      <c r="E57" t="s">
        <v>67</v>
      </c>
      <c r="F57">
        <v>564</v>
      </c>
      <c r="H57">
        <v>51</v>
      </c>
      <c r="I57">
        <v>34</v>
      </c>
      <c r="J57">
        <v>19</v>
      </c>
      <c r="K57" t="s">
        <v>27</v>
      </c>
      <c r="L57" t="s">
        <v>23</v>
      </c>
      <c r="N57">
        <v>140</v>
      </c>
      <c r="O57">
        <v>7766794</v>
      </c>
      <c r="P57">
        <v>9019996</v>
      </c>
      <c r="Q57">
        <v>90</v>
      </c>
      <c r="R57" t="s">
        <v>28</v>
      </c>
      <c r="S57" s="1">
        <v>46248</v>
      </c>
      <c r="T57" s="3">
        <f>N57/F57</f>
        <v>0.24822695035460993</v>
      </c>
    </row>
    <row r="58" spans="1:20" x14ac:dyDescent="0.25">
      <c r="A58" t="s">
        <v>87</v>
      </c>
      <c r="C58" t="s">
        <v>84</v>
      </c>
      <c r="D58" s="2">
        <v>283</v>
      </c>
      <c r="E58" t="s">
        <v>67</v>
      </c>
      <c r="F58">
        <v>283</v>
      </c>
      <c r="H58">
        <v>40</v>
      </c>
      <c r="I58">
        <v>30</v>
      </c>
      <c r="J58">
        <v>51</v>
      </c>
      <c r="K58" t="s">
        <v>27</v>
      </c>
      <c r="L58" t="s">
        <v>23</v>
      </c>
      <c r="N58">
        <v>70</v>
      </c>
      <c r="O58">
        <v>1224211</v>
      </c>
      <c r="P58">
        <v>1533034</v>
      </c>
      <c r="Q58">
        <v>90</v>
      </c>
      <c r="R58" t="s">
        <v>28</v>
      </c>
      <c r="S58" s="1">
        <v>46249</v>
      </c>
      <c r="T58" s="3">
        <f>N58/F58</f>
        <v>0.24734982332155478</v>
      </c>
    </row>
    <row r="59" spans="1:20" x14ac:dyDescent="0.25">
      <c r="A59" t="s">
        <v>139</v>
      </c>
      <c r="C59" t="s">
        <v>137</v>
      </c>
      <c r="D59" s="2">
        <v>573</v>
      </c>
      <c r="E59" t="s">
        <v>67</v>
      </c>
      <c r="F59">
        <v>573</v>
      </c>
      <c r="H59">
        <v>52</v>
      </c>
      <c r="I59">
        <v>37</v>
      </c>
      <c r="J59">
        <v>21</v>
      </c>
      <c r="K59" t="s">
        <v>27</v>
      </c>
      <c r="L59" t="s">
        <v>23</v>
      </c>
      <c r="N59">
        <v>137</v>
      </c>
      <c r="O59">
        <v>1387047</v>
      </c>
      <c r="P59">
        <v>1591026</v>
      </c>
      <c r="Q59">
        <v>90</v>
      </c>
      <c r="R59" t="s">
        <v>28</v>
      </c>
      <c r="S59" s="1">
        <v>46249</v>
      </c>
      <c r="T59" s="3">
        <f>N59/F59</f>
        <v>0.23909249563699825</v>
      </c>
    </row>
    <row r="60" spans="1:20" x14ac:dyDescent="0.25">
      <c r="A60" t="s">
        <v>93</v>
      </c>
      <c r="C60" t="s">
        <v>84</v>
      </c>
      <c r="D60" s="2">
        <v>455</v>
      </c>
      <c r="E60" t="s">
        <v>71</v>
      </c>
      <c r="F60">
        <v>455</v>
      </c>
      <c r="H60">
        <v>34</v>
      </c>
      <c r="I60">
        <v>36</v>
      </c>
      <c r="J60">
        <v>7</v>
      </c>
      <c r="K60" t="s">
        <v>27</v>
      </c>
      <c r="L60" t="s">
        <v>23</v>
      </c>
      <c r="N60">
        <v>100</v>
      </c>
      <c r="O60">
        <v>2666081</v>
      </c>
      <c r="P60">
        <v>3441184</v>
      </c>
      <c r="Q60">
        <v>90</v>
      </c>
      <c r="R60" t="s">
        <v>28</v>
      </c>
      <c r="S60" s="1">
        <v>46249</v>
      </c>
      <c r="T60" s="3">
        <f>N60/F60</f>
        <v>0.21978021978021978</v>
      </c>
    </row>
    <row r="61" spans="1:20" x14ac:dyDescent="0.25">
      <c r="A61" t="s">
        <v>72</v>
      </c>
      <c r="C61" t="s">
        <v>56</v>
      </c>
      <c r="D61" s="2">
        <v>533</v>
      </c>
      <c r="E61" t="s">
        <v>73</v>
      </c>
      <c r="F61">
        <v>533</v>
      </c>
      <c r="H61">
        <v>46</v>
      </c>
      <c r="I61">
        <v>38</v>
      </c>
      <c r="J61">
        <v>13</v>
      </c>
      <c r="K61" t="s">
        <v>27</v>
      </c>
      <c r="L61" t="s">
        <v>23</v>
      </c>
      <c r="N61">
        <v>116</v>
      </c>
      <c r="O61">
        <v>10215942</v>
      </c>
      <c r="P61">
        <v>11273414</v>
      </c>
      <c r="Q61">
        <v>90</v>
      </c>
      <c r="R61" t="s">
        <v>28</v>
      </c>
      <c r="S61" s="1">
        <v>46248</v>
      </c>
      <c r="T61" s="3">
        <f>N61/F61</f>
        <v>0.2176360225140713</v>
      </c>
    </row>
    <row r="62" spans="1:20" x14ac:dyDescent="0.25">
      <c r="A62" t="s">
        <v>50</v>
      </c>
      <c r="C62" t="s">
        <v>37</v>
      </c>
      <c r="D62" s="2">
        <v>281</v>
      </c>
      <c r="E62" t="s">
        <v>51</v>
      </c>
      <c r="F62">
        <v>281</v>
      </c>
      <c r="H62">
        <v>22</v>
      </c>
      <c r="I62">
        <v>22</v>
      </c>
      <c r="J62">
        <v>15</v>
      </c>
      <c r="K62" t="s">
        <v>27</v>
      </c>
      <c r="L62" t="s">
        <v>23</v>
      </c>
      <c r="N62">
        <v>61</v>
      </c>
      <c r="O62">
        <v>1437390</v>
      </c>
      <c r="P62">
        <v>2214365</v>
      </c>
      <c r="Q62">
        <v>90</v>
      </c>
      <c r="R62" t="s">
        <v>28</v>
      </c>
      <c r="S62" s="1">
        <v>46249</v>
      </c>
      <c r="T62" s="3">
        <f>N62/F62</f>
        <v>0.21708185053380782</v>
      </c>
    </row>
    <row r="63" spans="1:20" x14ac:dyDescent="0.25">
      <c r="A63" t="s">
        <v>100</v>
      </c>
      <c r="C63" t="s">
        <v>96</v>
      </c>
      <c r="D63" s="2">
        <v>523</v>
      </c>
      <c r="E63" t="s">
        <v>101</v>
      </c>
      <c r="F63">
        <v>523</v>
      </c>
      <c r="H63">
        <v>34</v>
      </c>
      <c r="I63">
        <v>37</v>
      </c>
      <c r="J63">
        <v>25</v>
      </c>
      <c r="K63" t="s">
        <v>27</v>
      </c>
      <c r="L63" t="s">
        <v>23</v>
      </c>
      <c r="N63">
        <v>103</v>
      </c>
      <c r="O63">
        <v>1676573</v>
      </c>
      <c r="P63">
        <v>1895140</v>
      </c>
      <c r="Q63">
        <v>90</v>
      </c>
      <c r="R63" t="s">
        <v>28</v>
      </c>
      <c r="S63" s="1">
        <v>46249</v>
      </c>
      <c r="T63" s="3">
        <f>N63/F63</f>
        <v>0.19694072657743786</v>
      </c>
    </row>
    <row r="64" spans="1:20" x14ac:dyDescent="0.25">
      <c r="A64" t="s">
        <v>46</v>
      </c>
      <c r="C64" t="s">
        <v>37</v>
      </c>
      <c r="D64" s="2">
        <v>459</v>
      </c>
      <c r="E64" t="s">
        <v>42</v>
      </c>
      <c r="F64">
        <v>465</v>
      </c>
      <c r="G64">
        <v>463</v>
      </c>
      <c r="H64">
        <v>50</v>
      </c>
      <c r="I64">
        <v>40</v>
      </c>
      <c r="J64">
        <v>8</v>
      </c>
      <c r="K64" t="s">
        <v>27</v>
      </c>
      <c r="L64" t="s">
        <v>47</v>
      </c>
      <c r="N64">
        <v>87</v>
      </c>
      <c r="O64">
        <v>1901487</v>
      </c>
      <c r="P64">
        <v>0</v>
      </c>
      <c r="Q64">
        <v>148.9</v>
      </c>
      <c r="R64" t="s">
        <v>48</v>
      </c>
      <c r="S64" s="1">
        <v>46249</v>
      </c>
      <c r="T64" s="3">
        <f>N64/F64</f>
        <v>0.18709677419354839</v>
      </c>
    </row>
    <row r="65" spans="1:20" x14ac:dyDescent="0.25">
      <c r="A65" t="s">
        <v>141</v>
      </c>
      <c r="C65" t="s">
        <v>137</v>
      </c>
      <c r="D65" s="2">
        <v>629</v>
      </c>
      <c r="E65" t="s">
        <v>53</v>
      </c>
      <c r="F65">
        <v>629</v>
      </c>
      <c r="H65">
        <v>40</v>
      </c>
      <c r="I65">
        <v>27</v>
      </c>
      <c r="J65">
        <v>17</v>
      </c>
      <c r="K65" t="s">
        <v>27</v>
      </c>
      <c r="L65" t="s">
        <v>23</v>
      </c>
      <c r="N65">
        <v>113</v>
      </c>
      <c r="O65">
        <v>1255069</v>
      </c>
      <c r="P65">
        <v>1587356</v>
      </c>
      <c r="Q65">
        <v>90</v>
      </c>
      <c r="R65" t="s">
        <v>28</v>
      </c>
      <c r="S65" s="1">
        <v>46249</v>
      </c>
      <c r="T65" s="3">
        <f>N65/F65</f>
        <v>0.17965023847376788</v>
      </c>
    </row>
    <row r="66" spans="1:20" x14ac:dyDescent="0.25">
      <c r="A66" t="s">
        <v>85</v>
      </c>
      <c r="C66" t="s">
        <v>84</v>
      </c>
      <c r="D66" s="2">
        <v>481</v>
      </c>
      <c r="E66" t="s">
        <v>71</v>
      </c>
      <c r="F66">
        <v>485</v>
      </c>
      <c r="H66">
        <v>50</v>
      </c>
      <c r="I66">
        <v>23</v>
      </c>
      <c r="J66">
        <v>15</v>
      </c>
      <c r="K66" t="s">
        <v>27</v>
      </c>
      <c r="L66" t="s">
        <v>23</v>
      </c>
      <c r="N66">
        <v>85</v>
      </c>
      <c r="O66">
        <v>2206133</v>
      </c>
      <c r="P66">
        <v>2980693</v>
      </c>
      <c r="Q66">
        <v>90</v>
      </c>
      <c r="R66" t="s">
        <v>28</v>
      </c>
      <c r="S66" s="1">
        <v>46249</v>
      </c>
      <c r="T66" s="3">
        <f>N66/F66</f>
        <v>0.17525773195876287</v>
      </c>
    </row>
    <row r="67" spans="1:20" x14ac:dyDescent="0.25">
      <c r="A67" t="s">
        <v>114</v>
      </c>
      <c r="C67" t="s">
        <v>107</v>
      </c>
      <c r="D67" s="2">
        <v>475</v>
      </c>
      <c r="E67" t="s">
        <v>51</v>
      </c>
      <c r="F67">
        <v>475</v>
      </c>
      <c r="H67">
        <v>33</v>
      </c>
      <c r="I67">
        <v>32</v>
      </c>
      <c r="J67">
        <v>22</v>
      </c>
      <c r="K67" t="s">
        <v>27</v>
      </c>
      <c r="L67" t="s">
        <v>23</v>
      </c>
      <c r="N67">
        <v>72</v>
      </c>
      <c r="O67">
        <v>10749948</v>
      </c>
      <c r="P67">
        <v>13670895</v>
      </c>
      <c r="Q67">
        <v>90</v>
      </c>
      <c r="R67" t="s">
        <v>28</v>
      </c>
      <c r="S67" s="1">
        <v>46248</v>
      </c>
      <c r="T67" s="3">
        <f>N67/F67</f>
        <v>0.15157894736842106</v>
      </c>
    </row>
    <row r="68" spans="1:20" x14ac:dyDescent="0.25">
      <c r="A68" t="s">
        <v>39</v>
      </c>
      <c r="C68" t="s">
        <v>37</v>
      </c>
      <c r="D68" s="2">
        <v>852</v>
      </c>
      <c r="E68" t="s">
        <v>40</v>
      </c>
      <c r="F68">
        <v>852</v>
      </c>
      <c r="H68">
        <v>37</v>
      </c>
      <c r="I68">
        <v>37</v>
      </c>
      <c r="J68">
        <v>15</v>
      </c>
      <c r="K68" t="s">
        <v>27</v>
      </c>
      <c r="L68" t="s">
        <v>23</v>
      </c>
      <c r="N68">
        <v>125</v>
      </c>
      <c r="O68">
        <v>6857564</v>
      </c>
      <c r="P68">
        <v>7786383</v>
      </c>
      <c r="Q68">
        <v>90</v>
      </c>
      <c r="R68" t="s">
        <v>28</v>
      </c>
      <c r="S68" s="1">
        <v>46248</v>
      </c>
      <c r="T68" s="3">
        <f>N68/F68</f>
        <v>0.14671361502347419</v>
      </c>
    </row>
    <row r="69" spans="1:20" x14ac:dyDescent="0.25">
      <c r="A69" t="s">
        <v>97</v>
      </c>
      <c r="C69" t="s">
        <v>96</v>
      </c>
      <c r="D69" s="2">
        <v>408</v>
      </c>
      <c r="E69" t="s">
        <v>67</v>
      </c>
      <c r="F69">
        <v>408</v>
      </c>
      <c r="H69">
        <v>35</v>
      </c>
      <c r="I69">
        <v>31</v>
      </c>
      <c r="J69">
        <v>7</v>
      </c>
      <c r="K69" t="s">
        <v>27</v>
      </c>
      <c r="L69" t="s">
        <v>23</v>
      </c>
      <c r="N69">
        <v>58</v>
      </c>
      <c r="O69">
        <v>2996528</v>
      </c>
      <c r="P69">
        <v>3782662</v>
      </c>
      <c r="Q69">
        <v>90</v>
      </c>
      <c r="R69" t="s">
        <v>28</v>
      </c>
      <c r="S69" s="1">
        <v>46249</v>
      </c>
      <c r="T69" s="3">
        <f>N69/F69</f>
        <v>0.14215686274509803</v>
      </c>
    </row>
    <row r="70" spans="1:20" x14ac:dyDescent="0.25">
      <c r="A70" t="s">
        <v>52</v>
      </c>
      <c r="C70" t="s">
        <v>37</v>
      </c>
      <c r="D70" s="2">
        <v>596</v>
      </c>
      <c r="E70" t="s">
        <v>53</v>
      </c>
      <c r="F70">
        <v>656</v>
      </c>
      <c r="G70">
        <v>652</v>
      </c>
      <c r="H70">
        <v>29</v>
      </c>
      <c r="I70">
        <v>32</v>
      </c>
      <c r="J70">
        <v>13</v>
      </c>
      <c r="K70" t="s">
        <v>27</v>
      </c>
      <c r="L70" t="s">
        <v>47</v>
      </c>
      <c r="N70">
        <v>86</v>
      </c>
      <c r="O70">
        <v>1116521</v>
      </c>
      <c r="P70">
        <v>0</v>
      </c>
      <c r="Q70">
        <v>51.1</v>
      </c>
      <c r="R70" t="s">
        <v>54</v>
      </c>
      <c r="S70" s="1">
        <v>46249</v>
      </c>
      <c r="T70" s="3">
        <f>N70/F70</f>
        <v>0.13109756097560976</v>
      </c>
    </row>
    <row r="71" spans="1:20" x14ac:dyDescent="0.25">
      <c r="A71" t="s">
        <v>49</v>
      </c>
      <c r="C71" t="s">
        <v>37</v>
      </c>
      <c r="D71" s="2">
        <v>524</v>
      </c>
      <c r="E71" t="s">
        <v>38</v>
      </c>
      <c r="F71">
        <v>524</v>
      </c>
      <c r="H71">
        <v>37</v>
      </c>
      <c r="I71">
        <v>36</v>
      </c>
      <c r="J71">
        <v>23</v>
      </c>
      <c r="K71" t="s">
        <v>27</v>
      </c>
      <c r="L71" t="s">
        <v>23</v>
      </c>
      <c r="N71">
        <v>68</v>
      </c>
      <c r="O71">
        <v>1385011</v>
      </c>
      <c r="P71">
        <v>1727379</v>
      </c>
      <c r="Q71">
        <v>90</v>
      </c>
      <c r="R71" t="s">
        <v>28</v>
      </c>
      <c r="S71" s="1">
        <v>46249</v>
      </c>
      <c r="T71" s="3">
        <f>N71/F71</f>
        <v>0.12977099236641221</v>
      </c>
    </row>
    <row r="72" spans="1:20" x14ac:dyDescent="0.25">
      <c r="A72" t="s">
        <v>94</v>
      </c>
      <c r="C72" t="s">
        <v>84</v>
      </c>
      <c r="D72" s="2">
        <v>531</v>
      </c>
      <c r="E72" t="s">
        <v>69</v>
      </c>
      <c r="F72">
        <v>572</v>
      </c>
      <c r="H72">
        <v>50</v>
      </c>
      <c r="I72">
        <v>35</v>
      </c>
      <c r="J72">
        <v>17</v>
      </c>
      <c r="K72" t="s">
        <v>27</v>
      </c>
      <c r="L72" t="s">
        <v>23</v>
      </c>
      <c r="N72">
        <v>71</v>
      </c>
      <c r="O72">
        <v>2073695</v>
      </c>
      <c r="P72">
        <v>2543698</v>
      </c>
      <c r="Q72">
        <v>90</v>
      </c>
      <c r="R72" t="s">
        <v>28</v>
      </c>
      <c r="S72" s="1">
        <v>46249</v>
      </c>
      <c r="T72" s="3">
        <f>N72/F72</f>
        <v>0.12412587412587413</v>
      </c>
    </row>
    <row r="73" spans="1:20" x14ac:dyDescent="0.25">
      <c r="A73" t="s">
        <v>115</v>
      </c>
      <c r="C73" t="s">
        <v>107</v>
      </c>
      <c r="D73" s="2">
        <v>620</v>
      </c>
      <c r="E73" t="s">
        <v>53</v>
      </c>
      <c r="F73">
        <v>620</v>
      </c>
      <c r="H73">
        <v>50</v>
      </c>
      <c r="I73">
        <v>37</v>
      </c>
      <c r="J73">
        <v>24</v>
      </c>
      <c r="K73" t="s">
        <v>27</v>
      </c>
      <c r="L73" t="s">
        <v>23</v>
      </c>
      <c r="N73">
        <v>74</v>
      </c>
      <c r="O73">
        <v>4133110</v>
      </c>
      <c r="P73">
        <v>4798176</v>
      </c>
      <c r="Q73">
        <v>90</v>
      </c>
      <c r="R73" t="s">
        <v>28</v>
      </c>
      <c r="S73" s="1">
        <v>46248</v>
      </c>
      <c r="T73" s="3">
        <f>N73/F73</f>
        <v>0.11935483870967742</v>
      </c>
    </row>
    <row r="74" spans="1:20" x14ac:dyDescent="0.25">
      <c r="A74" t="s">
        <v>104</v>
      </c>
      <c r="C74" t="s">
        <v>105</v>
      </c>
      <c r="D74" s="2">
        <v>458</v>
      </c>
      <c r="E74" t="s">
        <v>38</v>
      </c>
      <c r="F74">
        <v>458</v>
      </c>
      <c r="H74">
        <v>48</v>
      </c>
      <c r="I74">
        <v>20</v>
      </c>
      <c r="J74">
        <v>21</v>
      </c>
      <c r="K74" t="s">
        <v>27</v>
      </c>
      <c r="L74" t="s">
        <v>23</v>
      </c>
      <c r="N74">
        <v>46</v>
      </c>
      <c r="O74">
        <v>1190593</v>
      </c>
      <c r="P74">
        <v>1895538</v>
      </c>
      <c r="Q74">
        <v>90</v>
      </c>
      <c r="R74" t="s">
        <v>28</v>
      </c>
      <c r="S74" s="1">
        <v>46249</v>
      </c>
      <c r="T74" s="3">
        <f>N74/F74</f>
        <v>0.10043668122270742</v>
      </c>
    </row>
    <row r="75" spans="1:20" x14ac:dyDescent="0.25">
      <c r="A75" t="s">
        <v>102</v>
      </c>
      <c r="C75" t="s">
        <v>96</v>
      </c>
      <c r="D75" s="2">
        <v>706</v>
      </c>
      <c r="E75" t="s">
        <v>53</v>
      </c>
      <c r="F75">
        <v>706</v>
      </c>
      <c r="H75">
        <v>48</v>
      </c>
      <c r="I75">
        <v>35</v>
      </c>
      <c r="J75">
        <v>76</v>
      </c>
      <c r="K75" t="s">
        <v>27</v>
      </c>
      <c r="L75" t="s">
        <v>23</v>
      </c>
      <c r="N75">
        <v>67</v>
      </c>
      <c r="O75">
        <v>616036</v>
      </c>
      <c r="P75">
        <v>935971</v>
      </c>
      <c r="Q75">
        <v>90</v>
      </c>
      <c r="R75" t="s">
        <v>28</v>
      </c>
      <c r="S75" s="1">
        <v>46249</v>
      </c>
      <c r="T75" s="3">
        <f>N75/F75</f>
        <v>9.4900849858356937E-2</v>
      </c>
    </row>
    <row r="76" spans="1:20" x14ac:dyDescent="0.25">
      <c r="A76" t="s">
        <v>44</v>
      </c>
      <c r="C76" t="s">
        <v>37</v>
      </c>
      <c r="D76" s="2">
        <v>413</v>
      </c>
      <c r="E76" t="s">
        <v>45</v>
      </c>
      <c r="F76">
        <v>420</v>
      </c>
      <c r="H76">
        <v>30</v>
      </c>
      <c r="I76">
        <v>34</v>
      </c>
      <c r="J76">
        <v>12</v>
      </c>
      <c r="K76" t="s">
        <v>27</v>
      </c>
      <c r="L76" t="s">
        <v>23</v>
      </c>
      <c r="N76">
        <v>38</v>
      </c>
      <c r="O76">
        <v>657231</v>
      </c>
      <c r="P76">
        <v>980601</v>
      </c>
      <c r="Q76">
        <v>90</v>
      </c>
      <c r="R76" t="s">
        <v>28</v>
      </c>
      <c r="S76" s="1">
        <v>46249</v>
      </c>
      <c r="T76" s="3">
        <f>N76/F76</f>
        <v>9.0476190476190474E-2</v>
      </c>
    </row>
    <row r="77" spans="1:20" x14ac:dyDescent="0.25">
      <c r="A77" t="s">
        <v>134</v>
      </c>
      <c r="C77" t="s">
        <v>125</v>
      </c>
      <c r="D77" s="2">
        <v>1229</v>
      </c>
      <c r="E77" t="s">
        <v>53</v>
      </c>
      <c r="F77">
        <v>1237</v>
      </c>
      <c r="G77">
        <v>1231</v>
      </c>
      <c r="H77">
        <v>50</v>
      </c>
      <c r="I77">
        <v>39</v>
      </c>
      <c r="J77">
        <v>17</v>
      </c>
      <c r="K77" t="s">
        <v>27</v>
      </c>
      <c r="L77" t="s">
        <v>47</v>
      </c>
      <c r="N77">
        <v>83</v>
      </c>
      <c r="O77">
        <v>3841163</v>
      </c>
      <c r="P77">
        <v>0</v>
      </c>
      <c r="Q77">
        <v>390.6</v>
      </c>
      <c r="R77" t="s">
        <v>135</v>
      </c>
      <c r="S77" s="1">
        <v>46249</v>
      </c>
      <c r="T77" s="3">
        <f>N77/F77</f>
        <v>6.7097817299919163E-2</v>
      </c>
    </row>
    <row r="78" spans="1:20" x14ac:dyDescent="0.25">
      <c r="A78" t="s">
        <v>142</v>
      </c>
      <c r="C78" t="s">
        <v>137</v>
      </c>
      <c r="D78" s="2">
        <v>890</v>
      </c>
      <c r="E78" t="s">
        <v>143</v>
      </c>
      <c r="F78">
        <v>946</v>
      </c>
      <c r="H78">
        <v>51</v>
      </c>
      <c r="I78">
        <v>35</v>
      </c>
      <c r="J78">
        <v>12</v>
      </c>
      <c r="K78" t="s">
        <v>27</v>
      </c>
      <c r="L78" t="s">
        <v>23</v>
      </c>
      <c r="N78">
        <v>49</v>
      </c>
      <c r="O78">
        <v>2089133</v>
      </c>
      <c r="P78">
        <v>2678504</v>
      </c>
      <c r="Q78">
        <v>90</v>
      </c>
      <c r="R78" t="s">
        <v>28</v>
      </c>
      <c r="S78" s="1">
        <v>46249</v>
      </c>
      <c r="T78" s="3">
        <f>N78/F78</f>
        <v>5.1797040169133189E-2</v>
      </c>
    </row>
    <row r="79" spans="1:20" x14ac:dyDescent="0.25">
      <c r="A79" t="s">
        <v>123</v>
      </c>
      <c r="C79" t="s">
        <v>117</v>
      </c>
      <c r="D79" s="2">
        <v>1681</v>
      </c>
      <c r="E79" t="s">
        <v>53</v>
      </c>
      <c r="F79">
        <v>1691</v>
      </c>
      <c r="H79">
        <v>51</v>
      </c>
      <c r="I79">
        <v>36</v>
      </c>
      <c r="J79">
        <v>40</v>
      </c>
      <c r="K79" t="s">
        <v>27</v>
      </c>
      <c r="L79" t="s">
        <v>23</v>
      </c>
      <c r="N79">
        <v>62</v>
      </c>
      <c r="O79">
        <v>991879</v>
      </c>
      <c r="P79">
        <v>1223327</v>
      </c>
      <c r="Q79">
        <v>90</v>
      </c>
      <c r="R79" t="s">
        <v>28</v>
      </c>
      <c r="S79" s="1">
        <v>46249</v>
      </c>
      <c r="T79" s="3">
        <f>N79/F79</f>
        <v>3.666469544648137E-2</v>
      </c>
    </row>
    <row r="80" spans="1:20" x14ac:dyDescent="0.25">
      <c r="A80" t="s">
        <v>103</v>
      </c>
      <c r="C80" t="s">
        <v>96</v>
      </c>
      <c r="D80" s="2">
        <v>1964</v>
      </c>
      <c r="E80" t="s">
        <v>53</v>
      </c>
      <c r="F80">
        <v>1964</v>
      </c>
      <c r="H80">
        <v>41</v>
      </c>
      <c r="I80">
        <v>38</v>
      </c>
      <c r="J80">
        <v>20</v>
      </c>
      <c r="K80" t="s">
        <v>27</v>
      </c>
      <c r="L80" t="s">
        <v>23</v>
      </c>
      <c r="N80">
        <v>47</v>
      </c>
      <c r="O80">
        <v>1386947</v>
      </c>
      <c r="P80">
        <v>1700346</v>
      </c>
      <c r="Q80">
        <v>90</v>
      </c>
      <c r="R80" t="s">
        <v>28</v>
      </c>
      <c r="S80" s="1">
        <v>46249</v>
      </c>
      <c r="T80" s="3">
        <f>N80/F80</f>
        <v>2.3930753564154784E-2</v>
      </c>
    </row>
    <row r="81" spans="1:20" x14ac:dyDescent="0.25">
      <c r="A81" t="s">
        <v>81</v>
      </c>
      <c r="C81" t="s">
        <v>75</v>
      </c>
      <c r="D81" s="2">
        <v>1541</v>
      </c>
      <c r="E81" t="s">
        <v>71</v>
      </c>
      <c r="F81">
        <v>2127</v>
      </c>
      <c r="G81">
        <v>2097</v>
      </c>
      <c r="H81">
        <v>48</v>
      </c>
      <c r="I81">
        <v>33</v>
      </c>
      <c r="J81">
        <v>23</v>
      </c>
      <c r="K81" t="s">
        <v>27</v>
      </c>
      <c r="L81" t="s">
        <v>47</v>
      </c>
      <c r="N81">
        <v>38</v>
      </c>
      <c r="O81">
        <v>31855792</v>
      </c>
      <c r="P81">
        <v>0</v>
      </c>
      <c r="Q81">
        <v>19005.8</v>
      </c>
      <c r="R81" t="s">
        <v>82</v>
      </c>
      <c r="S81" s="1">
        <v>46249</v>
      </c>
      <c r="T81" s="3">
        <f>N81/F81</f>
        <v>1.7865538316878232E-2</v>
      </c>
    </row>
    <row r="82" spans="1:20" x14ac:dyDescent="0.25">
      <c r="A82" t="s">
        <v>25</v>
      </c>
      <c r="C82" t="s">
        <v>20</v>
      </c>
      <c r="D82" s="2">
        <v>225</v>
      </c>
      <c r="E82" t="s">
        <v>21</v>
      </c>
      <c r="F82">
        <v>225</v>
      </c>
      <c r="H82">
        <v>48</v>
      </c>
      <c r="I82">
        <v>37</v>
      </c>
      <c r="J82">
        <v>8</v>
      </c>
      <c r="T82" s="3"/>
    </row>
    <row r="83" spans="1:20" x14ac:dyDescent="0.25">
      <c r="A83" t="s">
        <v>140</v>
      </c>
      <c r="C83" t="s">
        <v>137</v>
      </c>
      <c r="D83" s="2">
        <v>525</v>
      </c>
      <c r="E83" t="s">
        <v>53</v>
      </c>
      <c r="F83">
        <v>525</v>
      </c>
      <c r="H83">
        <v>45</v>
      </c>
      <c r="I83">
        <v>33</v>
      </c>
      <c r="J83">
        <v>35</v>
      </c>
      <c r="T83" s="3"/>
    </row>
    <row r="84" spans="1:20" x14ac:dyDescent="0.25">
      <c r="A84" t="s">
        <v>144</v>
      </c>
      <c r="H84">
        <v>29</v>
      </c>
      <c r="I84">
        <v>27</v>
      </c>
      <c r="J84">
        <v>5</v>
      </c>
    </row>
  </sheetData>
  <autoFilter ref="A1:T83" xr:uid="{0EF43C95-2EB9-4E25-9295-6B67276EEA6B}">
    <sortState xmlns:xlrd2="http://schemas.microsoft.com/office/spreadsheetml/2017/richdata2" ref="A2:T84">
      <sortCondition descending="1" ref="T1:T83"/>
    </sortState>
  </autoFilter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Martin Suchan</cp:lastModifiedBy>
  <dcterms:created xsi:type="dcterms:W3CDTF">2026-08-15T12:33:47Z</dcterms:created>
  <dcterms:modified xsi:type="dcterms:W3CDTF">2026-08-15T12:33:47Z</dcterms:modified>
</cp:coreProperties>
</file>